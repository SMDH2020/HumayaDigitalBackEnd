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Detalle por Departamento" sheetId="2" state="visible" r:id="rId4"/>
    <sheet name="Consolidad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<sst xmlns="http://schemas.openxmlformats.org/spreadsheetml/2006/main" count="250" uniqueCount="92">
  <si>
    <t xml:space="preserve">MAQUINARIA DEL HUMAYA — ESTADO DE RESULTADOS</t>
  </si>
  <si>
    <t xml:space="preserve">Junio 2026 · Grupo completo · Todas las sucursales y departamentos</t>
  </si>
  <si>
    <t xml:space="preserve">Ventas Netas Totales</t>
  </si>
  <si>
    <t xml:space="preserve">Utilidad Bruta</t>
  </si>
  <si>
    <t xml:space="preserve">Utilidad de Operación</t>
  </si>
  <si>
    <t xml:space="preserve">Util. Antes Impuestos</t>
  </si>
  <si>
    <t xml:space="preserve">vs proy. −24.4% | vs año ant. −9.1%</t>
  </si>
  <si>
    <t xml:space="preserve">19.7% margen | proy. 18.0%</t>
  </si>
  <si>
    <t xml:space="preserve">5.5% margen | proy. 6.5%</t>
  </si>
  <si>
    <t xml:space="preserve">▲ 17.0% vs año anterior</t>
  </si>
  <si>
    <t xml:space="preserve">Departamento</t>
  </si>
  <si>
    <t xml:space="preserve">Ventas Netas</t>
  </si>
  <si>
    <t xml:space="preserve">Costo Venta</t>
  </si>
  <si>
    <t xml:space="preserve">Util. Bruta</t>
  </si>
  <si>
    <t xml:space="preserve">% UB</t>
  </si>
  <si>
    <t xml:space="preserve">Gastos Dpto.</t>
  </si>
  <si>
    <t xml:space="preserve">Util. Operación</t>
  </si>
  <si>
    <t xml:space="preserve">% UO</t>
  </si>
  <si>
    <t xml:space="preserve">Indicador</t>
  </si>
  <si>
    <t xml:space="preserve">Maquinaria</t>
  </si>
  <si>
    <t xml:space="preserve">R</t>
  </si>
  <si>
    <t xml:space="preserve">Refacciones</t>
  </si>
  <si>
    <t xml:space="preserve">Servicio</t>
  </si>
  <si>
    <t xml:space="preserve">V</t>
  </si>
  <si>
    <t xml:space="preserve">Productos Aliados</t>
  </si>
  <si>
    <t xml:space="preserve">A</t>
  </si>
  <si>
    <t xml:space="preserve">Ferretería</t>
  </si>
  <si>
    <t xml:space="preserve">Sistemas de Riego</t>
  </si>
  <si>
    <t xml:space="preserve">AMS</t>
  </si>
  <si>
    <t xml:space="preserve">Drones</t>
  </si>
  <si>
    <t xml:space="preserve">Seminuevos</t>
  </si>
  <si>
    <t xml:space="preserve">TOTAL GRUPO</t>
  </si>
  <si>
    <t xml:space="preserve">OTROS INGRESOS Y GASTOS</t>
  </si>
  <si>
    <t xml:space="preserve">Intereses obtenidos</t>
  </si>
  <si>
    <t xml:space="preserve">Otros ingresos</t>
  </si>
  <si>
    <t xml:space="preserve">Pago por desempeño IJD</t>
  </si>
  <si>
    <t xml:space="preserve">Intereses ganados</t>
  </si>
  <si>
    <t xml:space="preserve">Otros productos</t>
  </si>
  <si>
    <t xml:space="preserve">Pérdida en cambios</t>
  </si>
  <si>
    <t xml:space="preserve">Total otros ingresos</t>
  </si>
  <si>
    <t xml:space="preserve">TOTAL</t>
  </si>
  <si>
    <t xml:space="preserve">Comisión y situación bca</t>
  </si>
  <si>
    <t xml:space="preserve">Otros gastos</t>
  </si>
  <si>
    <t xml:space="preserve">Comisiones no bancarias</t>
  </si>
  <si>
    <t xml:space="preserve">Intereses pagados bancos</t>
  </si>
  <si>
    <t xml:space="preserve">Pérd. rescisión contrato JD</t>
  </si>
  <si>
    <t xml:space="preserve">Total otros gastos</t>
  </si>
  <si>
    <t xml:space="preserve">UTILIDAD ANTES DE IMPUESTOS</t>
  </si>
  <si>
    <t xml:space="preserve">DETALLE POR DEPARTAMENTO — JUNIO 2026</t>
  </si>
  <si>
    <t xml:space="preserve">MAQUINARIA</t>
  </si>
  <si>
    <t xml:space="preserve">Concepto</t>
  </si>
  <si>
    <t xml:space="preserve">Importe Real</t>
  </si>
  <si>
    <t xml:space="preserve">% VN</t>
  </si>
  <si>
    <t xml:space="preserve">Proyección</t>
  </si>
  <si>
    <t xml:space="preserve">Diferencia</t>
  </si>
  <si>
    <t xml:space="preserve">% Dif.</t>
  </si>
  <si>
    <t xml:space="preserve">Año Anterior</t>
  </si>
  <si>
    <t xml:space="preserve">Maquinaria Nueva</t>
  </si>
  <si>
    <t xml:space="preserve">Descuentos</t>
  </si>
  <si>
    <t xml:space="preserve">Costo de Venta</t>
  </si>
  <si>
    <t xml:space="preserve">Gastos de Departamento</t>
  </si>
  <si>
    <t xml:space="preserve">REFACCIONES</t>
  </si>
  <si>
    <t xml:space="preserve">SERVICIO</t>
  </si>
  <si>
    <t xml:space="preserve">Trabajos Foráneos</t>
  </si>
  <si>
    <t xml:space="preserve">Costo Venta Servicio</t>
  </si>
  <si>
    <t xml:space="preserve">Costo Venta Foráneos</t>
  </si>
  <si>
    <t xml:space="preserve">PRODUCTOS ALIADOS</t>
  </si>
  <si>
    <t xml:space="preserve">FERRETERÍA</t>
  </si>
  <si>
    <t xml:space="preserve">SISTEMAS DE RIEGO</t>
  </si>
  <si>
    <t xml:space="preserve">Sistema de Riego</t>
  </si>
  <si>
    <t xml:space="preserve">Venta de AMS</t>
  </si>
  <si>
    <t xml:space="preserve">Renta de AMS</t>
  </si>
  <si>
    <t xml:space="preserve">Drones AMS</t>
  </si>
  <si>
    <t xml:space="preserve">Costo Venta AMS</t>
  </si>
  <si>
    <t xml:space="preserve">DRONES</t>
  </si>
  <si>
    <t xml:space="preserve">Venta Bruta</t>
  </si>
  <si>
    <t xml:space="preserve">SEMINUEVOS</t>
  </si>
  <si>
    <t xml:space="preserve">ESTADO DE RESULTADOS CONSOLIDADO — JUNIO 2026</t>
  </si>
  <si>
    <t xml:space="preserve">% Proy.</t>
  </si>
  <si>
    <t xml:space="preserve">Costos de Venta</t>
  </si>
  <si>
    <t xml:space="preserve">Gastos Departamentales</t>
  </si>
  <si>
    <t xml:space="preserve">Gastos de Administración</t>
  </si>
  <si>
    <t xml:space="preserve">Gastos de Staff</t>
  </si>
  <si>
    <t xml:space="preserve">Gastos de Finanzas</t>
  </si>
  <si>
    <t xml:space="preserve">OTROS INGRESOS</t>
  </si>
  <si>
    <t xml:space="preserve">Intereses ganados s/inversiones</t>
  </si>
  <si>
    <t xml:space="preserve">Total Otros Ingresos</t>
  </si>
  <si>
    <t xml:space="preserve">OTROS GASTOS</t>
  </si>
  <si>
    <t xml:space="preserve">Comisión y situación bancaria</t>
  </si>
  <si>
    <t xml:space="preserve">Intereses pagados a bancos</t>
  </si>
  <si>
    <t xml:space="preserve">Pérdida rescisión contrato JD</t>
  </si>
  <si>
    <t xml:space="preserve">Total Otros Gastos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</si>
</sst>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\$#,##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CCCCCC"/>
      <name val="Arial"/>
      <family val="0"/>
      <charset val="1"/>
    </font>
    <font>
      <b val="true"/>
      <sz val="9"/>
      <color rgb="FF367C2B"/>
      <name val="Arial"/>
      <family val="0"/>
      <charset val="1"/>
    </font>
    <font>
      <b val="true"/>
      <sz val="18"/>
      <color rgb="FF1A1A1A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367C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sz val="10"/>
      <color rgb="FFC0392B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22"/>
      <color rgb="FF1D5C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C0392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5C23"/>
        <bgColor rgb="FF367C2B"/>
      </patternFill>
    </fill>
    <fill>
      <patternFill patternType="solid">
        <fgColor rgb="FF367C2B"/>
        <bgColor rgb="FF1D5C23"/>
      </patternFill>
    </fill>
    <fill>
      <patternFill patternType="solid">
        <fgColor rgb="FFF4F5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DEDEB"/>
        <bgColor rgb="FFF4F5F5"/>
      </patternFill>
    </fill>
    <fill>
      <patternFill patternType="solid">
        <fgColor rgb="FFE8F5E9"/>
        <bgColor rgb="FFF4F5F5"/>
      </patternFill>
    </fill>
    <fill>
      <patternFill patternType="solid">
        <fgColor rgb="FFFFFDE7"/>
        <bgColor rgb="FFF9F9F9"/>
      </patternFill>
    </fill>
    <fill>
      <patternFill patternType="solid">
        <fgColor rgb="FFFFDE00"/>
        <bgColor rgb="FFFFFF00"/>
      </patternFill>
    </fill>
    <fill>
      <patternFill patternType="solid">
        <fgColor rgb="FFF9F9F9"/>
        <bgColor rgb="FFF4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5C23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5F5"/>
      <rgbColor rgb="FFF9F9F9"/>
      <rgbColor rgb="FFFDEDEB"/>
      <rgbColor rgb="FF99CCFF"/>
      <rgbColor rgb="FFFF99CC"/>
      <rgbColor rgb="FFCC99FF"/>
      <rgbColor rgb="FFFFCC99"/>
      <rgbColor rgb="FF3366FF"/>
      <rgbColor rgb="FF33CCCC"/>
      <rgbColor rgb="FF99CC00"/>
      <rgbColor rgb="FFFFDE00"/>
      <rgbColor rgb="FFFF9900"/>
      <rgbColor rgb="FFE67E22"/>
      <rgbColor rgb="FF666666"/>
      <rgbColor rgb="FF969696"/>
      <rgbColor rgb="FF003366"/>
      <rgbColor rgb="FF367C2B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67C2B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1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.75" hidden="false" customHeight="true" outlineLevel="0" collapsed="false">
      <c r="A4" s="4" t="s">
        <v>2</v>
      </c>
      <c r="B4" s="4"/>
      <c r="C4" s="4"/>
      <c r="D4" s="4" t="s">
        <v>3</v>
      </c>
      <c r="E4" s="4"/>
      <c r="F4" s="4" t="s">
        <v>4</v>
      </c>
      <c r="G4" s="4"/>
      <c r="H4" s="4" t="s">
        <v>5</v>
      </c>
      <c r="I4" s="4"/>
    </row>
    <row r="5" customFormat="false" ht="27.75" hidden="false" customHeight="true" outlineLevel="0" collapsed="false">
      <c r="A5" s="5" t="n">
        <v>61109928</v>
      </c>
      <c r="B5" s="5"/>
      <c r="C5" s="5"/>
      <c r="D5" s="5" t="n">
        <v>12029546</v>
      </c>
      <c r="E5" s="5"/>
      <c r="F5" s="5" t="n">
        <v>3330521</v>
      </c>
      <c r="G5" s="5"/>
      <c r="H5" s="5" t="n">
        <v>3841451</v>
      </c>
      <c r="I5" s="5"/>
    </row>
    <row r="6" customFormat="false" ht="13.5" hidden="false" customHeight="true" outlineLevel="0" collapsed="false">
      <c r="A6" s="6" t="s">
        <v>6</v>
      </c>
      <c r="B6" s="6"/>
      <c r="C6" s="6"/>
      <c r="D6" s="6" t="s">
        <v>7</v>
      </c>
      <c r="E6" s="6"/>
      <c r="F6" s="6" t="s">
        <v>8</v>
      </c>
      <c r="G6" s="6"/>
      <c r="H6" s="6" t="s">
        <v>9</v>
      </c>
      <c r="I6" s="6"/>
    </row>
    <row r="7" customFormat="false" ht="7.5" hidden="false" customHeight="true" outlineLevel="0" collapsed="false"/>
    <row r="8" customFormat="false" ht="21.75" hidden="false" customHeight="true" outlineLevel="0" collapsed="false">
      <c r="A8" s="7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</row>
    <row r="9" customFormat="false" ht="18" hidden="false" customHeight="true" outlineLevel="0" collapsed="false">
      <c r="A9" s="9" t="s">
        <v>19</v>
      </c>
      <c r="B9" s="10" t="n">
        <v>28753408</v>
      </c>
      <c r="C9" s="10" t="n">
        <v>24443195</v>
      </c>
      <c r="D9" s="10" t="n">
        <v>4310213</v>
      </c>
      <c r="E9" s="11" t="n">
        <v>0.1499</v>
      </c>
      <c r="F9" s="10" t="n">
        <v>2046690</v>
      </c>
      <c r="G9" s="10" t="n">
        <v>2263523</v>
      </c>
      <c r="H9" s="11" t="n">
        <v>0.0787</v>
      </c>
      <c r="I9" s="12" t="s">
        <v>20</v>
      </c>
    </row>
    <row r="10" customFormat="false" ht="18" hidden="false" customHeight="true" outlineLevel="0" collapsed="false">
      <c r="A10" s="13" t="s">
        <v>21</v>
      </c>
      <c r="B10" s="14" t="n">
        <v>12463177</v>
      </c>
      <c r="C10" s="14" t="n">
        <v>9757460</v>
      </c>
      <c r="D10" s="14" t="n">
        <v>2705717</v>
      </c>
      <c r="E10" s="15" t="n">
        <v>0.2171</v>
      </c>
      <c r="F10" s="14" t="n">
        <v>1813538</v>
      </c>
      <c r="G10" s="14" t="n">
        <v>892179</v>
      </c>
      <c r="H10" s="15" t="n">
        <v>0.0716</v>
      </c>
      <c r="I10" s="12" t="s">
        <v>20</v>
      </c>
    </row>
    <row r="11" customFormat="false" ht="18" hidden="false" customHeight="true" outlineLevel="0" collapsed="false">
      <c r="A11" s="9" t="s">
        <v>22</v>
      </c>
      <c r="B11" s="10" t="n">
        <v>4037960</v>
      </c>
      <c r="C11" s="10" t="n">
        <v>2145227</v>
      </c>
      <c r="D11" s="10" t="n">
        <v>1892732</v>
      </c>
      <c r="E11" s="11" t="n">
        <v>0.4687</v>
      </c>
      <c r="F11" s="10" t="n">
        <v>1186151</v>
      </c>
      <c r="G11" s="10" t="n">
        <v>706581</v>
      </c>
      <c r="H11" s="11" t="n">
        <v>0.175</v>
      </c>
      <c r="I11" s="16" t="s">
        <v>23</v>
      </c>
    </row>
    <row r="12" customFormat="false" ht="18" hidden="false" customHeight="true" outlineLevel="0" collapsed="false">
      <c r="A12" s="13" t="s">
        <v>24</v>
      </c>
      <c r="B12" s="14" t="n">
        <v>2471379</v>
      </c>
      <c r="C12" s="14" t="n">
        <v>1976078</v>
      </c>
      <c r="D12" s="14" t="n">
        <v>495302</v>
      </c>
      <c r="E12" s="15" t="n">
        <v>0.2004</v>
      </c>
      <c r="F12" s="14" t="n">
        <v>332545</v>
      </c>
      <c r="G12" s="14" t="n">
        <v>162757</v>
      </c>
      <c r="H12" s="15" t="n">
        <v>0.0659</v>
      </c>
      <c r="I12" s="17" t="s">
        <v>25</v>
      </c>
    </row>
    <row r="13" customFormat="false" ht="18" hidden="false" customHeight="true" outlineLevel="0" collapsed="false">
      <c r="A13" s="9" t="s">
        <v>26</v>
      </c>
      <c r="B13" s="10" t="n">
        <v>2070732</v>
      </c>
      <c r="C13" s="10" t="n">
        <v>1740860</v>
      </c>
      <c r="D13" s="10" t="n">
        <v>329872</v>
      </c>
      <c r="E13" s="11" t="n">
        <v>0.1593</v>
      </c>
      <c r="F13" s="10" t="n">
        <v>224374</v>
      </c>
      <c r="G13" s="10" t="n">
        <v>105497</v>
      </c>
      <c r="H13" s="11" t="n">
        <v>0.0509</v>
      </c>
      <c r="I13" s="12" t="s">
        <v>20</v>
      </c>
    </row>
    <row r="14" customFormat="false" ht="18" hidden="false" customHeight="true" outlineLevel="0" collapsed="false">
      <c r="A14" s="13" t="s">
        <v>27</v>
      </c>
      <c r="B14" s="14" t="n">
        <v>4215713</v>
      </c>
      <c r="C14" s="14" t="n">
        <v>3154226</v>
      </c>
      <c r="D14" s="14" t="n">
        <v>1061487</v>
      </c>
      <c r="E14" s="15" t="n">
        <v>0.2518</v>
      </c>
      <c r="F14" s="14" t="n">
        <v>428282</v>
      </c>
      <c r="G14" s="14" t="n">
        <v>633205</v>
      </c>
      <c r="H14" s="15" t="n">
        <v>0.1502</v>
      </c>
      <c r="I14" s="16" t="s">
        <v>23</v>
      </c>
    </row>
    <row r="15" customFormat="false" ht="18" hidden="false" customHeight="true" outlineLevel="0" collapsed="false">
      <c r="A15" s="9" t="s">
        <v>28</v>
      </c>
      <c r="B15" s="10" t="n">
        <v>793674</v>
      </c>
      <c r="C15" s="10" t="n">
        <v>468695</v>
      </c>
      <c r="D15" s="10" t="n">
        <v>324979</v>
      </c>
      <c r="E15" s="11" t="n">
        <v>0.4095</v>
      </c>
      <c r="F15" s="10" t="n">
        <v>164380</v>
      </c>
      <c r="G15" s="10" t="n">
        <v>160598</v>
      </c>
      <c r="H15" s="11" t="n">
        <v>0.2023</v>
      </c>
      <c r="I15" s="16" t="s">
        <v>23</v>
      </c>
    </row>
    <row r="16" customFormat="false" ht="18" hidden="false" customHeight="true" outlineLevel="0" collapsed="false">
      <c r="A16" s="13" t="s">
        <v>29</v>
      </c>
      <c r="B16" s="14" t="n">
        <v>4926925</v>
      </c>
      <c r="C16" s="14" t="n">
        <v>3690506</v>
      </c>
      <c r="D16" s="14" t="n">
        <v>1236419</v>
      </c>
      <c r="E16" s="15" t="n">
        <v>0.251</v>
      </c>
      <c r="F16" s="14" t="n">
        <v>425926</v>
      </c>
      <c r="G16" s="14" t="n">
        <v>810493</v>
      </c>
      <c r="H16" s="15" t="n">
        <v>0.1645</v>
      </c>
      <c r="I16" s="16" t="s">
        <v>23</v>
      </c>
    </row>
    <row r="17" customFormat="false" ht="18" hidden="false" customHeight="true" outlineLevel="0" collapsed="false">
      <c r="A17" s="9" t="s">
        <v>30</v>
      </c>
      <c r="B17" s="10" t="n">
        <v>1376960</v>
      </c>
      <c r="C17" s="10" t="n">
        <v>1704135</v>
      </c>
      <c r="D17" s="18" t="n">
        <v>-327175</v>
      </c>
      <c r="E17" s="19" t="n">
        <v>-0.2376</v>
      </c>
      <c r="F17" s="10" t="n">
        <v>188087</v>
      </c>
      <c r="G17" s="18" t="n">
        <v>-515262</v>
      </c>
      <c r="H17" s="19" t="n">
        <v>-0.3742</v>
      </c>
      <c r="I17" s="12" t="s">
        <v>20</v>
      </c>
    </row>
    <row r="18" customFormat="false" ht="19.5" hidden="false" customHeight="true" outlineLevel="0" collapsed="false">
      <c r="A18" s="7" t="s">
        <v>31</v>
      </c>
      <c r="B18" s="20" t="n">
        <v>61109928</v>
      </c>
      <c r="C18" s="20" t="n">
        <v>49080382</v>
      </c>
      <c r="D18" s="20" t="n">
        <f aca="false">SUM(D9:D17)</f>
        <v>12029546</v>
      </c>
      <c r="E18" s="21" t="n">
        <f aca="false">D18/B18</f>
        <v>0.196850927397591</v>
      </c>
      <c r="F18" s="20" t="n">
        <v>6809973</v>
      </c>
      <c r="G18" s="20" t="n">
        <v>3330521</v>
      </c>
      <c r="H18" s="21" t="n">
        <f aca="false">G18/B18</f>
        <v>0.0545004896749347</v>
      </c>
      <c r="I18" s="8" t="s">
        <v>20</v>
      </c>
    </row>
    <row r="20" customFormat="false" ht="18" hidden="false" customHeight="true" outlineLevel="0" collapsed="false">
      <c r="A20" s="22" t="s">
        <v>32</v>
      </c>
      <c r="B20" s="22"/>
      <c r="C20" s="22"/>
      <c r="D20" s="22"/>
      <c r="E20" s="22"/>
      <c r="F20" s="22"/>
      <c r="G20" s="22"/>
      <c r="H20" s="22"/>
      <c r="I20" s="22"/>
    </row>
    <row r="21" customFormat="false" ht="15.75" hidden="false" customHeight="true" outlineLevel="0" collapsed="false">
      <c r="A21" s="23" t="s">
        <v>33</v>
      </c>
      <c r="B21" s="24" t="n">
        <v>820888.54</v>
      </c>
      <c r="C21" s="25" t="s">
        <v>34</v>
      </c>
      <c r="D21" s="26"/>
      <c r="E21" s="26"/>
      <c r="F21" s="26"/>
      <c r="G21" s="26"/>
      <c r="H21" s="26"/>
      <c r="I21" s="26"/>
    </row>
    <row r="22" customFormat="false" ht="15.75" hidden="false" customHeight="true" outlineLevel="0" collapsed="false">
      <c r="A22" s="23" t="s">
        <v>35</v>
      </c>
      <c r="B22" s="24" t="n">
        <v>835144.11</v>
      </c>
      <c r="C22" s="25" t="s">
        <v>34</v>
      </c>
      <c r="D22" s="26"/>
      <c r="E22" s="26"/>
      <c r="F22" s="26"/>
      <c r="G22" s="26"/>
      <c r="H22" s="26"/>
      <c r="I22" s="26"/>
    </row>
    <row r="23" customFormat="false" ht="15.75" hidden="false" customHeight="true" outlineLevel="0" collapsed="false">
      <c r="A23" s="23" t="s">
        <v>36</v>
      </c>
      <c r="B23" s="24" t="n">
        <v>742.05</v>
      </c>
      <c r="C23" s="25" t="s">
        <v>34</v>
      </c>
      <c r="D23" s="26"/>
      <c r="E23" s="26"/>
      <c r="F23" s="26"/>
      <c r="G23" s="26"/>
      <c r="H23" s="26"/>
      <c r="I23" s="26"/>
    </row>
    <row r="24" customFormat="false" ht="15.75" hidden="false" customHeight="true" outlineLevel="0" collapsed="false">
      <c r="A24" s="23" t="s">
        <v>37</v>
      </c>
      <c r="B24" s="24" t="n">
        <v>15422.08</v>
      </c>
      <c r="C24" s="25" t="s">
        <v>34</v>
      </c>
      <c r="D24" s="26"/>
      <c r="E24" s="26"/>
      <c r="F24" s="26"/>
      <c r="G24" s="26"/>
      <c r="H24" s="26"/>
      <c r="I24" s="26"/>
    </row>
    <row r="25" customFormat="false" ht="15.75" hidden="false" customHeight="true" outlineLevel="0" collapsed="false">
      <c r="A25" s="23" t="s">
        <v>38</v>
      </c>
      <c r="B25" s="27" t="n">
        <v>-8355.28</v>
      </c>
      <c r="C25" s="25" t="s">
        <v>34</v>
      </c>
      <c r="D25" s="26"/>
      <c r="E25" s="26"/>
      <c r="F25" s="26"/>
      <c r="G25" s="26"/>
      <c r="H25" s="26"/>
      <c r="I25" s="26"/>
    </row>
    <row r="26" customFormat="false" ht="15.75" hidden="false" customHeight="true" outlineLevel="0" collapsed="false">
      <c r="A26" s="28" t="s">
        <v>39</v>
      </c>
      <c r="B26" s="29" t="n">
        <v>1663841.5</v>
      </c>
      <c r="C26" s="30" t="s">
        <v>40</v>
      </c>
      <c r="D26" s="31"/>
      <c r="E26" s="31"/>
      <c r="F26" s="31"/>
      <c r="G26" s="31"/>
      <c r="H26" s="31"/>
      <c r="I26" s="31"/>
    </row>
    <row r="27" customFormat="false" ht="15.75" hidden="false" customHeight="true" outlineLevel="0" collapsed="false">
      <c r="A27" s="23" t="s">
        <v>41</v>
      </c>
      <c r="B27" s="24" t="n">
        <v>136664.63</v>
      </c>
      <c r="C27" s="25" t="s">
        <v>42</v>
      </c>
      <c r="D27" s="26"/>
      <c r="E27" s="26"/>
      <c r="F27" s="26"/>
      <c r="G27" s="26"/>
      <c r="H27" s="26"/>
      <c r="I27" s="26"/>
    </row>
    <row r="28" customFormat="false" ht="15.75" hidden="false" customHeight="true" outlineLevel="0" collapsed="false">
      <c r="A28" s="23" t="s">
        <v>43</v>
      </c>
      <c r="B28" s="24" t="n">
        <v>27950</v>
      </c>
      <c r="C28" s="25" t="s">
        <v>42</v>
      </c>
      <c r="D28" s="26"/>
      <c r="E28" s="26"/>
      <c r="F28" s="26"/>
      <c r="G28" s="26"/>
      <c r="H28" s="26"/>
      <c r="I28" s="26"/>
    </row>
    <row r="29" customFormat="false" ht="15.75" hidden="false" customHeight="true" outlineLevel="0" collapsed="false">
      <c r="A29" s="23" t="s">
        <v>44</v>
      </c>
      <c r="B29" s="24" t="n">
        <v>336011.36</v>
      </c>
      <c r="C29" s="25" t="s">
        <v>42</v>
      </c>
      <c r="D29" s="26"/>
      <c r="E29" s="26"/>
      <c r="F29" s="26"/>
      <c r="G29" s="26"/>
      <c r="H29" s="26"/>
      <c r="I29" s="26"/>
    </row>
    <row r="30" customFormat="false" ht="15.75" hidden="false" customHeight="true" outlineLevel="0" collapsed="false">
      <c r="A30" s="23" t="s">
        <v>45</v>
      </c>
      <c r="B30" s="24" t="n">
        <v>652285</v>
      </c>
      <c r="C30" s="25" t="s">
        <v>42</v>
      </c>
      <c r="D30" s="26"/>
      <c r="E30" s="26"/>
      <c r="F30" s="26"/>
      <c r="G30" s="26"/>
      <c r="H30" s="26"/>
      <c r="I30" s="26"/>
    </row>
    <row r="31" customFormat="false" ht="15.75" hidden="false" customHeight="true" outlineLevel="0" collapsed="false">
      <c r="A31" s="28" t="s">
        <v>46</v>
      </c>
      <c r="B31" s="29" t="n">
        <v>1152910.99</v>
      </c>
      <c r="C31" s="30" t="s">
        <v>40</v>
      </c>
      <c r="D31" s="31"/>
      <c r="E31" s="31"/>
      <c r="F31" s="31"/>
      <c r="G31" s="31"/>
      <c r="H31" s="31"/>
      <c r="I31" s="31"/>
    </row>
    <row r="33" customFormat="false" ht="21.75" hidden="false" customHeight="true" outlineLevel="0" collapsed="false">
      <c r="A33" s="32" t="s">
        <v>47</v>
      </c>
      <c r="B33" s="32"/>
      <c r="C33" s="32"/>
      <c r="D33" s="32"/>
      <c r="E33" s="32"/>
      <c r="F33" s="32"/>
      <c r="G33" s="32"/>
      <c r="H33" s="32"/>
      <c r="I33" s="32"/>
    </row>
    <row r="34" customFormat="false" ht="33.75" hidden="false" customHeight="true" outlineLevel="0" collapsed="false">
      <c r="A34" s="33" t="n">
        <v>3841451.3</v>
      </c>
      <c r="B34" s="33"/>
      <c r="C34" s="33"/>
      <c r="D34" s="33"/>
      <c r="E34" s="33"/>
      <c r="F34" s="33"/>
      <c r="G34" s="33"/>
      <c r="H34" s="33"/>
      <c r="I34" s="33"/>
    </row>
  </sheetData>
  <mergeCells count="18">
    <mergeCell ref="A1:I1"/>
    <mergeCell ref="A2:I2"/>
    <mergeCell ref="A3:I3"/>
    <mergeCell ref="A4:C4"/>
    <mergeCell ref="D4:E4"/>
    <mergeCell ref="F4:G4"/>
    <mergeCell ref="H4:I4"/>
    <mergeCell ref="A5:C5"/>
    <mergeCell ref="D5:E5"/>
    <mergeCell ref="F5:G5"/>
    <mergeCell ref="H5:I5"/>
    <mergeCell ref="A6:C6"/>
    <mergeCell ref="D6:E6"/>
    <mergeCell ref="F6:G6"/>
    <mergeCell ref="H6:I6"/>
    <mergeCell ref="A20:I20"/>
    <mergeCell ref="A33:I33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5C23"/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8"/>
  </cols>
  <sheetData>
    <row r="1" customFormat="false" ht="27.75" hidden="false" customHeight="true" outlineLevel="0" collapsed="false">
      <c r="A1" s="34" t="s">
        <v>48</v>
      </c>
      <c r="B1" s="34"/>
      <c r="C1" s="34"/>
      <c r="D1" s="34"/>
      <c r="E1" s="34"/>
      <c r="F1" s="34"/>
      <c r="G1" s="34"/>
      <c r="H1" s="34"/>
    </row>
    <row r="2" customFormat="false" ht="19.5" hidden="false" customHeight="true" outlineLevel="0" collapsed="false">
      <c r="A2" s="35" t="s">
        <v>49</v>
      </c>
      <c r="B2" s="35"/>
      <c r="C2" s="35"/>
      <c r="D2" s="35"/>
      <c r="E2" s="35"/>
      <c r="F2" s="35"/>
      <c r="G2" s="35"/>
      <c r="H2" s="35"/>
      <c r="I2" s="35"/>
    </row>
    <row r="3" customFormat="false" ht="15.75" hidden="false" customHeight="true" outlineLevel="0" collapsed="false">
      <c r="A3" s="36" t="s">
        <v>50</v>
      </c>
      <c r="B3" s="37" t="s">
        <v>51</v>
      </c>
      <c r="C3" s="37" t="s">
        <v>52</v>
      </c>
      <c r="D3" s="37" t="s">
        <v>53</v>
      </c>
      <c r="E3" s="37" t="s">
        <v>52</v>
      </c>
      <c r="F3" s="37" t="s">
        <v>54</v>
      </c>
      <c r="G3" s="37" t="s">
        <v>55</v>
      </c>
      <c r="H3" s="37" t="s">
        <v>56</v>
      </c>
      <c r="I3" s="37" t="s">
        <v>52</v>
      </c>
    </row>
    <row r="4" customFormat="false" ht="15" hidden="false" customHeight="true" outlineLevel="0" collapsed="false">
      <c r="A4" s="38" t="s">
        <v>57</v>
      </c>
      <c r="B4" s="39" t="n">
        <v>30579202</v>
      </c>
      <c r="C4" s="40" t="n">
        <v>1.0635</v>
      </c>
      <c r="D4" s="39" t="n">
        <v>35631116</v>
      </c>
      <c r="E4" s="40" t="n">
        <v>1.0635</v>
      </c>
      <c r="F4" s="41" t="n">
        <v>-5051914</v>
      </c>
      <c r="G4" s="42" t="n">
        <v>-0.1418</v>
      </c>
      <c r="H4" s="39" t="n">
        <v>34192732</v>
      </c>
      <c r="I4" s="40" t="n">
        <v>1.0582</v>
      </c>
    </row>
    <row r="5" customFormat="false" ht="15" hidden="false" customHeight="true" outlineLevel="0" collapsed="false">
      <c r="A5" s="43" t="s">
        <v>58</v>
      </c>
      <c r="B5" s="44" t="n">
        <v>1825794</v>
      </c>
      <c r="C5" s="45" t="n">
        <v>0.0635</v>
      </c>
      <c r="D5" s="44" t="n">
        <v>0</v>
      </c>
      <c r="E5" s="45" t="n">
        <v>0.0635</v>
      </c>
      <c r="F5" s="44" t="n">
        <v>1825794</v>
      </c>
      <c r="G5" s="45" t="n">
        <v>0</v>
      </c>
      <c r="H5" s="44" t="n">
        <v>1881725</v>
      </c>
      <c r="I5" s="45" t="n">
        <v>0.0582</v>
      </c>
    </row>
    <row r="6" customFormat="false" ht="15" hidden="false" customHeight="true" outlineLevel="0" collapsed="false">
      <c r="A6" s="46" t="s">
        <v>11</v>
      </c>
      <c r="B6" s="47" t="n">
        <v>28753408</v>
      </c>
      <c r="C6" s="48" t="n">
        <v>1</v>
      </c>
      <c r="D6" s="47" t="n">
        <v>35631116</v>
      </c>
      <c r="E6" s="48" t="n">
        <v>1</v>
      </c>
      <c r="F6" s="49" t="n">
        <v>-6877708</v>
      </c>
      <c r="G6" s="50" t="n">
        <v>-0.193</v>
      </c>
      <c r="H6" s="47" t="n">
        <v>32311007</v>
      </c>
      <c r="I6" s="48" t="n">
        <v>1</v>
      </c>
    </row>
    <row r="7" customFormat="false" ht="15" hidden="false" customHeight="true" outlineLevel="0" collapsed="false">
      <c r="A7" s="43" t="s">
        <v>59</v>
      </c>
      <c r="B7" s="44" t="n">
        <v>24443195</v>
      </c>
      <c r="C7" s="45" t="n">
        <v>0.8501</v>
      </c>
      <c r="D7" s="44" t="n">
        <v>30242871</v>
      </c>
      <c r="E7" s="45" t="n">
        <v>0.8501</v>
      </c>
      <c r="F7" s="51" t="n">
        <v>-5799676</v>
      </c>
      <c r="G7" s="52" t="n">
        <v>-0.1918</v>
      </c>
      <c r="H7" s="44" t="n">
        <v>26473733</v>
      </c>
      <c r="I7" s="45" t="n">
        <v>0.8193</v>
      </c>
    </row>
    <row r="8" customFormat="false" ht="15" hidden="false" customHeight="true" outlineLevel="0" collapsed="false">
      <c r="A8" s="46" t="s">
        <v>3</v>
      </c>
      <c r="B8" s="47" t="n">
        <v>4310213</v>
      </c>
      <c r="C8" s="48" t="n">
        <v>0.1499</v>
      </c>
      <c r="D8" s="47" t="n">
        <v>5388245</v>
      </c>
      <c r="E8" s="48" t="n">
        <v>0.1499</v>
      </c>
      <c r="F8" s="49" t="n">
        <v>-1078032</v>
      </c>
      <c r="G8" s="50" t="n">
        <v>-0.2001</v>
      </c>
      <c r="H8" s="47" t="n">
        <v>5837274</v>
      </c>
      <c r="I8" s="48" t="n">
        <v>0.1807</v>
      </c>
    </row>
    <row r="9" customFormat="false" ht="15" hidden="false" customHeight="true" outlineLevel="0" collapsed="false">
      <c r="A9" s="43" t="s">
        <v>60</v>
      </c>
      <c r="B9" s="44" t="n">
        <v>2046690</v>
      </c>
      <c r="C9" s="45" t="n">
        <v>0.0712</v>
      </c>
      <c r="D9" s="44" t="n">
        <v>2046778</v>
      </c>
      <c r="E9" s="45" t="n">
        <v>0.0712</v>
      </c>
      <c r="F9" s="51" t="n">
        <v>-88</v>
      </c>
      <c r="G9" s="45" t="n">
        <v>0</v>
      </c>
      <c r="H9" s="44" t="n">
        <v>2081674</v>
      </c>
      <c r="I9" s="45" t="n">
        <v>0.0644</v>
      </c>
    </row>
    <row r="10" customFormat="false" ht="15" hidden="false" customHeight="true" outlineLevel="0" collapsed="false">
      <c r="A10" s="36" t="s">
        <v>4</v>
      </c>
      <c r="B10" s="53" t="n">
        <v>2263523</v>
      </c>
      <c r="C10" s="54" t="n">
        <v>0.0787</v>
      </c>
      <c r="D10" s="53" t="n">
        <v>3341467</v>
      </c>
      <c r="E10" s="54" t="n">
        <v>0.0787</v>
      </c>
      <c r="F10" s="53" t="n">
        <v>-1077944</v>
      </c>
      <c r="G10" s="54" t="n">
        <v>-0.3226</v>
      </c>
      <c r="H10" s="53" t="n">
        <v>3755600</v>
      </c>
      <c r="I10" s="54" t="n">
        <v>0.1162</v>
      </c>
    </row>
    <row r="12" customFormat="false" ht="19.5" hidden="false" customHeight="true" outlineLevel="0" collapsed="false">
      <c r="A12" s="35" t="s">
        <v>61</v>
      </c>
      <c r="B12" s="35"/>
      <c r="C12" s="35"/>
      <c r="D12" s="35"/>
      <c r="E12" s="35"/>
      <c r="F12" s="35"/>
      <c r="G12" s="35"/>
      <c r="H12" s="35"/>
      <c r="I12" s="35"/>
    </row>
    <row r="13" customFormat="false" ht="15.75" hidden="false" customHeight="true" outlineLevel="0" collapsed="false">
      <c r="A13" s="36" t="s">
        <v>50</v>
      </c>
      <c r="B13" s="37" t="s">
        <v>51</v>
      </c>
      <c r="C13" s="37" t="s">
        <v>52</v>
      </c>
      <c r="D13" s="37" t="s">
        <v>53</v>
      </c>
      <c r="E13" s="37" t="s">
        <v>52</v>
      </c>
      <c r="F13" s="37" t="s">
        <v>54</v>
      </c>
      <c r="G13" s="37" t="s">
        <v>55</v>
      </c>
      <c r="H13" s="37" t="s">
        <v>56</v>
      </c>
      <c r="I13" s="37" t="s">
        <v>52</v>
      </c>
    </row>
    <row r="14" customFormat="false" ht="15" hidden="false" customHeight="true" outlineLevel="0" collapsed="false">
      <c r="A14" s="38" t="s">
        <v>21</v>
      </c>
      <c r="B14" s="39" t="n">
        <v>12848860</v>
      </c>
      <c r="C14" s="40" t="n">
        <v>1.0309</v>
      </c>
      <c r="D14" s="39" t="n">
        <v>16626855</v>
      </c>
      <c r="E14" s="40" t="n">
        <v>1.0309</v>
      </c>
      <c r="F14" s="41" t="n">
        <v>-3777995</v>
      </c>
      <c r="G14" s="42" t="n">
        <v>-0.2272</v>
      </c>
      <c r="H14" s="39" t="n">
        <v>12263392</v>
      </c>
      <c r="I14" s="40" t="n">
        <v>1.1237</v>
      </c>
    </row>
    <row r="15" customFormat="false" ht="15" hidden="false" customHeight="true" outlineLevel="0" collapsed="false">
      <c r="A15" s="43" t="s">
        <v>58</v>
      </c>
      <c r="B15" s="44" t="n">
        <v>385683</v>
      </c>
      <c r="C15" s="45" t="n">
        <v>0.0309</v>
      </c>
      <c r="D15" s="44" t="n">
        <v>0</v>
      </c>
      <c r="E15" s="45" t="n">
        <v>0.0309</v>
      </c>
      <c r="F15" s="44" t="n">
        <v>385683</v>
      </c>
      <c r="G15" s="45" t="n">
        <v>0</v>
      </c>
      <c r="H15" s="44" t="n">
        <v>1350020</v>
      </c>
      <c r="I15" s="45" t="n">
        <v>0.1237</v>
      </c>
    </row>
    <row r="16" customFormat="false" ht="15" hidden="false" customHeight="true" outlineLevel="0" collapsed="false">
      <c r="A16" s="46" t="s">
        <v>11</v>
      </c>
      <c r="B16" s="47" t="n">
        <v>12463177</v>
      </c>
      <c r="C16" s="48" t="n">
        <v>1</v>
      </c>
      <c r="D16" s="47" t="n">
        <v>16626855</v>
      </c>
      <c r="E16" s="48" t="n">
        <v>1</v>
      </c>
      <c r="F16" s="49" t="n">
        <v>-4163678</v>
      </c>
      <c r="G16" s="50" t="n">
        <v>-0.2504</v>
      </c>
      <c r="H16" s="47" t="n">
        <v>10913371</v>
      </c>
      <c r="I16" s="48" t="n">
        <v>1</v>
      </c>
    </row>
    <row r="17" customFormat="false" ht="15" hidden="false" customHeight="true" outlineLevel="0" collapsed="false">
      <c r="A17" s="43" t="s">
        <v>59</v>
      </c>
      <c r="B17" s="44" t="n">
        <v>9757460</v>
      </c>
      <c r="C17" s="45" t="n">
        <v>0.7829</v>
      </c>
      <c r="D17" s="44" t="n">
        <v>12702661</v>
      </c>
      <c r="E17" s="45" t="n">
        <v>0.7829</v>
      </c>
      <c r="F17" s="51" t="n">
        <v>-2945201</v>
      </c>
      <c r="G17" s="52" t="n">
        <v>-0.2319</v>
      </c>
      <c r="H17" s="44" t="n">
        <v>7993396</v>
      </c>
      <c r="I17" s="45" t="n">
        <v>0.7324</v>
      </c>
    </row>
    <row r="18" customFormat="false" ht="15" hidden="false" customHeight="true" outlineLevel="0" collapsed="false">
      <c r="A18" s="46" t="s">
        <v>3</v>
      </c>
      <c r="B18" s="47" t="n">
        <v>2705717</v>
      </c>
      <c r="C18" s="48" t="n">
        <v>0.2171</v>
      </c>
      <c r="D18" s="47" t="n">
        <v>3924194</v>
      </c>
      <c r="E18" s="48" t="n">
        <v>0.2171</v>
      </c>
      <c r="F18" s="49" t="n">
        <v>-1218477</v>
      </c>
      <c r="G18" s="50" t="n">
        <v>-0.3105</v>
      </c>
      <c r="H18" s="47" t="n">
        <v>2919975</v>
      </c>
      <c r="I18" s="48" t="n">
        <v>0.2676</v>
      </c>
    </row>
    <row r="19" customFormat="false" ht="15" hidden="false" customHeight="true" outlineLevel="0" collapsed="false">
      <c r="A19" s="43" t="s">
        <v>60</v>
      </c>
      <c r="B19" s="44" t="n">
        <v>1813538</v>
      </c>
      <c r="C19" s="45" t="n">
        <v>0.1455</v>
      </c>
      <c r="D19" s="44" t="n">
        <v>1813773</v>
      </c>
      <c r="E19" s="45" t="n">
        <v>0.1455</v>
      </c>
      <c r="F19" s="51" t="n">
        <v>-235</v>
      </c>
      <c r="G19" s="52" t="n">
        <v>-0.0001</v>
      </c>
      <c r="H19" s="44" t="n">
        <v>1637229</v>
      </c>
      <c r="I19" s="45" t="n">
        <v>0.15</v>
      </c>
    </row>
    <row r="20" customFormat="false" ht="15" hidden="false" customHeight="true" outlineLevel="0" collapsed="false">
      <c r="A20" s="36" t="s">
        <v>4</v>
      </c>
      <c r="B20" s="53" t="n">
        <v>892179</v>
      </c>
      <c r="C20" s="54" t="n">
        <v>0.0716</v>
      </c>
      <c r="D20" s="53" t="n">
        <v>2110421</v>
      </c>
      <c r="E20" s="54" t="n">
        <v>0.0716</v>
      </c>
      <c r="F20" s="53" t="n">
        <v>-1218242</v>
      </c>
      <c r="G20" s="54" t="n">
        <v>-0.5773</v>
      </c>
      <c r="H20" s="53" t="n">
        <v>1282746</v>
      </c>
      <c r="I20" s="54" t="n">
        <v>0.1175</v>
      </c>
    </row>
    <row r="22" customFormat="false" ht="19.5" hidden="false" customHeight="true" outlineLevel="0" collapsed="false">
      <c r="A22" s="35" t="s">
        <v>62</v>
      </c>
      <c r="B22" s="35"/>
      <c r="C22" s="35"/>
      <c r="D22" s="35"/>
      <c r="E22" s="35"/>
      <c r="F22" s="35"/>
      <c r="G22" s="35"/>
      <c r="H22" s="35"/>
      <c r="I22" s="35"/>
    </row>
    <row r="23" customFormat="false" ht="15.75" hidden="false" customHeight="true" outlineLevel="0" collapsed="false">
      <c r="A23" s="36" t="s">
        <v>50</v>
      </c>
      <c r="B23" s="37" t="s">
        <v>51</v>
      </c>
      <c r="C23" s="37" t="s">
        <v>52</v>
      </c>
      <c r="D23" s="37" t="s">
        <v>53</v>
      </c>
      <c r="E23" s="37" t="s">
        <v>52</v>
      </c>
      <c r="F23" s="37" t="s">
        <v>54</v>
      </c>
      <c r="G23" s="37" t="s">
        <v>55</v>
      </c>
      <c r="H23" s="37" t="s">
        <v>56</v>
      </c>
      <c r="I23" s="37" t="s">
        <v>52</v>
      </c>
    </row>
    <row r="24" customFormat="false" ht="15" hidden="false" customHeight="true" outlineLevel="0" collapsed="false">
      <c r="A24" s="38" t="s">
        <v>22</v>
      </c>
      <c r="B24" s="39" t="n">
        <v>3390328</v>
      </c>
      <c r="C24" s="40" t="n">
        <v>0.8396</v>
      </c>
      <c r="D24" s="39" t="n">
        <v>3925000</v>
      </c>
      <c r="E24" s="40" t="n">
        <v>0.8396</v>
      </c>
      <c r="F24" s="41" t="n">
        <v>-534672</v>
      </c>
      <c r="G24" s="42" t="n">
        <v>-0.1362</v>
      </c>
      <c r="H24" s="39" t="n">
        <v>2913203</v>
      </c>
      <c r="I24" s="40" t="n">
        <v>0.7601</v>
      </c>
    </row>
    <row r="25" customFormat="false" ht="15" hidden="false" customHeight="true" outlineLevel="0" collapsed="false">
      <c r="A25" s="43" t="s">
        <v>63</v>
      </c>
      <c r="B25" s="44" t="n">
        <v>679464</v>
      </c>
      <c r="C25" s="45" t="n">
        <v>0.1683</v>
      </c>
      <c r="D25" s="44" t="n">
        <v>807000</v>
      </c>
      <c r="E25" s="45" t="n">
        <v>0.1683</v>
      </c>
      <c r="F25" s="51" t="n">
        <v>-127536</v>
      </c>
      <c r="G25" s="52" t="n">
        <v>-0.158</v>
      </c>
      <c r="H25" s="44" t="n">
        <v>945701</v>
      </c>
      <c r="I25" s="45" t="n">
        <v>0.2467</v>
      </c>
    </row>
    <row r="26" customFormat="false" ht="15" hidden="false" customHeight="true" outlineLevel="0" collapsed="false">
      <c r="A26" s="38" t="s">
        <v>58</v>
      </c>
      <c r="B26" s="39" t="n">
        <v>31833</v>
      </c>
      <c r="C26" s="40" t="n">
        <v>0.0079</v>
      </c>
      <c r="D26" s="39" t="n">
        <v>0</v>
      </c>
      <c r="E26" s="40" t="n">
        <v>0.0079</v>
      </c>
      <c r="F26" s="39" t="n">
        <v>31833</v>
      </c>
      <c r="G26" s="40" t="n">
        <v>0</v>
      </c>
      <c r="H26" s="39" t="n">
        <v>26046</v>
      </c>
      <c r="I26" s="40" t="n">
        <v>0.0068</v>
      </c>
    </row>
    <row r="27" customFormat="false" ht="15" hidden="false" customHeight="true" outlineLevel="0" collapsed="false">
      <c r="A27" s="46" t="s">
        <v>11</v>
      </c>
      <c r="B27" s="47" t="n">
        <v>4037960</v>
      </c>
      <c r="C27" s="48" t="n">
        <v>1</v>
      </c>
      <c r="D27" s="47" t="n">
        <v>4732000</v>
      </c>
      <c r="E27" s="48" t="n">
        <v>1</v>
      </c>
      <c r="F27" s="49" t="n">
        <v>-694040</v>
      </c>
      <c r="G27" s="50" t="n">
        <v>-0.1467</v>
      </c>
      <c r="H27" s="47" t="n">
        <v>3832858</v>
      </c>
      <c r="I27" s="48" t="n">
        <v>1</v>
      </c>
    </row>
    <row r="28" customFormat="false" ht="15" hidden="false" customHeight="true" outlineLevel="0" collapsed="false">
      <c r="A28" s="38" t="s">
        <v>64</v>
      </c>
      <c r="B28" s="39" t="n">
        <v>1491215</v>
      </c>
      <c r="C28" s="40" t="n">
        <v>0.4398</v>
      </c>
      <c r="D28" s="39" t="n">
        <v>1988704</v>
      </c>
      <c r="E28" s="40" t="n">
        <v>0.4398</v>
      </c>
      <c r="F28" s="41" t="n">
        <v>-497489</v>
      </c>
      <c r="G28" s="42" t="n">
        <v>-0.2502</v>
      </c>
      <c r="H28" s="39" t="n">
        <v>1655447</v>
      </c>
      <c r="I28" s="40" t="n">
        <v>0.5683</v>
      </c>
    </row>
    <row r="29" customFormat="false" ht="15" hidden="false" customHeight="true" outlineLevel="0" collapsed="false">
      <c r="A29" s="43" t="s">
        <v>65</v>
      </c>
      <c r="B29" s="44" t="n">
        <v>654012</v>
      </c>
      <c r="C29" s="45" t="n">
        <v>0.9625</v>
      </c>
      <c r="D29" s="44" t="n">
        <v>710160</v>
      </c>
      <c r="E29" s="45" t="n">
        <v>0.9625</v>
      </c>
      <c r="F29" s="51" t="n">
        <v>-56148</v>
      </c>
      <c r="G29" s="52" t="n">
        <v>-0.0791</v>
      </c>
      <c r="H29" s="44" t="n">
        <v>876378</v>
      </c>
      <c r="I29" s="45" t="n">
        <v>0.9267</v>
      </c>
    </row>
    <row r="30" customFormat="false" ht="15" hidden="false" customHeight="true" outlineLevel="0" collapsed="false">
      <c r="A30" s="46" t="s">
        <v>3</v>
      </c>
      <c r="B30" s="47" t="n">
        <v>1892732</v>
      </c>
      <c r="C30" s="48" t="n">
        <v>0.4687</v>
      </c>
      <c r="D30" s="47" t="n">
        <v>2033136</v>
      </c>
      <c r="E30" s="48" t="n">
        <v>0.4687</v>
      </c>
      <c r="F30" s="49" t="n">
        <v>-140404</v>
      </c>
      <c r="G30" s="50" t="n">
        <v>-0.0691</v>
      </c>
      <c r="H30" s="47" t="n">
        <v>1301033</v>
      </c>
      <c r="I30" s="48" t="n">
        <v>0.3394</v>
      </c>
    </row>
    <row r="31" customFormat="false" ht="15" hidden="false" customHeight="true" outlineLevel="0" collapsed="false">
      <c r="A31" s="43" t="s">
        <v>60</v>
      </c>
      <c r="B31" s="44" t="n">
        <v>1186151</v>
      </c>
      <c r="C31" s="45" t="n">
        <v>0.2938</v>
      </c>
      <c r="D31" s="44" t="n">
        <v>1075954</v>
      </c>
      <c r="E31" s="45" t="n">
        <v>0.2938</v>
      </c>
      <c r="F31" s="44" t="n">
        <v>110197</v>
      </c>
      <c r="G31" s="45" t="n">
        <v>0.1024</v>
      </c>
      <c r="H31" s="44" t="n">
        <v>1027739</v>
      </c>
      <c r="I31" s="45" t="n">
        <v>0.2681</v>
      </c>
    </row>
    <row r="32" customFormat="false" ht="15" hidden="false" customHeight="true" outlineLevel="0" collapsed="false">
      <c r="A32" s="36" t="s">
        <v>4</v>
      </c>
      <c r="B32" s="53" t="n">
        <v>706581</v>
      </c>
      <c r="C32" s="54" t="n">
        <v>0.175</v>
      </c>
      <c r="D32" s="53" t="n">
        <v>957182</v>
      </c>
      <c r="E32" s="54" t="n">
        <v>0.175</v>
      </c>
      <c r="F32" s="53" t="n">
        <v>-250601</v>
      </c>
      <c r="G32" s="54" t="n">
        <v>-0.2618</v>
      </c>
      <c r="H32" s="53" t="n">
        <v>273294</v>
      </c>
      <c r="I32" s="54" t="n">
        <v>0.0713</v>
      </c>
    </row>
    <row r="34" customFormat="false" ht="19.5" hidden="false" customHeight="true" outlineLevel="0" collapsed="false">
      <c r="A34" s="35" t="s">
        <v>66</v>
      </c>
      <c r="B34" s="35"/>
      <c r="C34" s="35"/>
      <c r="D34" s="35"/>
      <c r="E34" s="35"/>
      <c r="F34" s="35"/>
      <c r="G34" s="35"/>
      <c r="H34" s="35"/>
      <c r="I34" s="35"/>
    </row>
    <row r="35" customFormat="false" ht="15.75" hidden="false" customHeight="true" outlineLevel="0" collapsed="false">
      <c r="A35" s="36" t="s">
        <v>50</v>
      </c>
      <c r="B35" s="37" t="s">
        <v>51</v>
      </c>
      <c r="C35" s="37" t="s">
        <v>52</v>
      </c>
      <c r="D35" s="37" t="s">
        <v>53</v>
      </c>
      <c r="E35" s="37" t="s">
        <v>52</v>
      </c>
      <c r="F35" s="37" t="s">
        <v>54</v>
      </c>
      <c r="G35" s="37" t="s">
        <v>55</v>
      </c>
      <c r="H35" s="37" t="s">
        <v>56</v>
      </c>
      <c r="I35" s="37" t="s">
        <v>52</v>
      </c>
    </row>
    <row r="36" customFormat="false" ht="15" hidden="false" customHeight="true" outlineLevel="0" collapsed="false">
      <c r="A36" s="38" t="s">
        <v>24</v>
      </c>
      <c r="B36" s="39" t="n">
        <v>2471379</v>
      </c>
      <c r="C36" s="40" t="n">
        <v>1</v>
      </c>
      <c r="D36" s="39" t="n">
        <v>3330000</v>
      </c>
      <c r="E36" s="40" t="n">
        <v>1</v>
      </c>
      <c r="F36" s="41" t="n">
        <v>-858621</v>
      </c>
      <c r="G36" s="42" t="n">
        <v>-0.2578</v>
      </c>
      <c r="H36" s="39" t="n">
        <v>3179566</v>
      </c>
      <c r="I36" s="40" t="n">
        <v>0.9994</v>
      </c>
    </row>
    <row r="37" customFormat="false" ht="15" hidden="false" customHeight="true" outlineLevel="0" collapsed="false">
      <c r="A37" s="43" t="s">
        <v>58</v>
      </c>
      <c r="B37" s="44" t="n">
        <v>0</v>
      </c>
      <c r="C37" s="45" t="n">
        <v>0</v>
      </c>
      <c r="D37" s="44" t="n">
        <v>0</v>
      </c>
      <c r="E37" s="45" t="n">
        <v>0</v>
      </c>
      <c r="F37" s="44" t="n">
        <v>0</v>
      </c>
      <c r="G37" s="45" t="n">
        <v>0</v>
      </c>
      <c r="H37" s="51" t="n">
        <v>-1888</v>
      </c>
      <c r="I37" s="52" t="n">
        <v>-0.0006</v>
      </c>
    </row>
    <row r="38" customFormat="false" ht="15" hidden="false" customHeight="true" outlineLevel="0" collapsed="false">
      <c r="A38" s="46" t="s">
        <v>11</v>
      </c>
      <c r="B38" s="47" t="n">
        <v>2471379</v>
      </c>
      <c r="C38" s="48" t="n">
        <v>1</v>
      </c>
      <c r="D38" s="47" t="n">
        <v>3330000</v>
      </c>
      <c r="E38" s="48" t="n">
        <v>1</v>
      </c>
      <c r="F38" s="49" t="n">
        <v>-858621</v>
      </c>
      <c r="G38" s="50" t="n">
        <v>-0.2578</v>
      </c>
      <c r="H38" s="47" t="n">
        <v>3181453</v>
      </c>
      <c r="I38" s="48" t="n">
        <v>1</v>
      </c>
    </row>
    <row r="39" customFormat="false" ht="15" hidden="false" customHeight="true" outlineLevel="0" collapsed="false">
      <c r="A39" s="43" t="s">
        <v>59</v>
      </c>
      <c r="B39" s="44" t="n">
        <v>1976078</v>
      </c>
      <c r="C39" s="45" t="n">
        <v>0.7996</v>
      </c>
      <c r="D39" s="44" t="n">
        <v>2652350</v>
      </c>
      <c r="E39" s="45" t="n">
        <v>0.7996</v>
      </c>
      <c r="F39" s="51" t="n">
        <v>-676272</v>
      </c>
      <c r="G39" s="52" t="n">
        <v>-0.255</v>
      </c>
      <c r="H39" s="44" t="n">
        <v>2554828</v>
      </c>
      <c r="I39" s="45" t="n">
        <v>0.803</v>
      </c>
    </row>
    <row r="40" customFormat="false" ht="15" hidden="false" customHeight="true" outlineLevel="0" collapsed="false">
      <c r="A40" s="46" t="s">
        <v>3</v>
      </c>
      <c r="B40" s="47" t="n">
        <v>495302</v>
      </c>
      <c r="C40" s="48" t="n">
        <v>0.2004</v>
      </c>
      <c r="D40" s="47" t="n">
        <v>677650</v>
      </c>
      <c r="E40" s="48" t="n">
        <v>0.2004</v>
      </c>
      <c r="F40" s="49" t="n">
        <v>-182348</v>
      </c>
      <c r="G40" s="50" t="n">
        <v>-0.2691</v>
      </c>
      <c r="H40" s="47" t="n">
        <v>626625</v>
      </c>
      <c r="I40" s="48" t="n">
        <v>0.197</v>
      </c>
    </row>
    <row r="41" customFormat="false" ht="15" hidden="false" customHeight="true" outlineLevel="0" collapsed="false">
      <c r="A41" s="43" t="s">
        <v>60</v>
      </c>
      <c r="B41" s="44" t="n">
        <v>332545</v>
      </c>
      <c r="C41" s="45" t="n">
        <v>0.1346</v>
      </c>
      <c r="D41" s="44" t="n">
        <v>449670</v>
      </c>
      <c r="E41" s="45" t="n">
        <v>0.1346</v>
      </c>
      <c r="F41" s="51" t="n">
        <v>-117125</v>
      </c>
      <c r="G41" s="52" t="n">
        <v>-0.2605</v>
      </c>
      <c r="H41" s="44" t="n">
        <v>442855</v>
      </c>
      <c r="I41" s="45" t="n">
        <v>0.1392</v>
      </c>
    </row>
    <row r="42" customFormat="false" ht="15" hidden="false" customHeight="true" outlineLevel="0" collapsed="false">
      <c r="A42" s="36" t="s">
        <v>4</v>
      </c>
      <c r="B42" s="53" t="n">
        <v>162757</v>
      </c>
      <c r="C42" s="54" t="n">
        <v>0.0659</v>
      </c>
      <c r="D42" s="53" t="n">
        <v>227980</v>
      </c>
      <c r="E42" s="54" t="n">
        <v>0.0659</v>
      </c>
      <c r="F42" s="53" t="n">
        <v>-65223</v>
      </c>
      <c r="G42" s="54" t="n">
        <v>-0.2861</v>
      </c>
      <c r="H42" s="53" t="n">
        <v>183770</v>
      </c>
      <c r="I42" s="54" t="n">
        <v>0.0578</v>
      </c>
    </row>
    <row r="44" customFormat="false" ht="19.5" hidden="false" customHeight="true" outlineLevel="0" collapsed="false">
      <c r="A44" s="35" t="s">
        <v>67</v>
      </c>
      <c r="B44" s="35"/>
      <c r="C44" s="35"/>
      <c r="D44" s="35"/>
      <c r="E44" s="35"/>
      <c r="F44" s="35"/>
      <c r="G44" s="35"/>
      <c r="H44" s="35"/>
      <c r="I44" s="35"/>
    </row>
    <row r="45" customFormat="false" ht="15.75" hidden="false" customHeight="true" outlineLevel="0" collapsed="false">
      <c r="A45" s="36" t="s">
        <v>50</v>
      </c>
      <c r="B45" s="37" t="s">
        <v>51</v>
      </c>
      <c r="C45" s="37" t="s">
        <v>52</v>
      </c>
      <c r="D45" s="37" t="s">
        <v>53</v>
      </c>
      <c r="E45" s="37" t="s">
        <v>52</v>
      </c>
      <c r="F45" s="37" t="s">
        <v>54</v>
      </c>
      <c r="G45" s="37" t="s">
        <v>55</v>
      </c>
      <c r="H45" s="37" t="s">
        <v>56</v>
      </c>
      <c r="I45" s="37" t="s">
        <v>52</v>
      </c>
    </row>
    <row r="46" customFormat="false" ht="15" hidden="false" customHeight="true" outlineLevel="0" collapsed="false">
      <c r="A46" s="38" t="s">
        <v>26</v>
      </c>
      <c r="B46" s="39" t="n">
        <v>2201097</v>
      </c>
      <c r="C46" s="40" t="n">
        <v>1.063</v>
      </c>
      <c r="D46" s="39" t="n">
        <v>4618327</v>
      </c>
      <c r="E46" s="40" t="n">
        <v>1.063</v>
      </c>
      <c r="F46" s="41" t="n">
        <v>-2417230</v>
      </c>
      <c r="G46" s="42" t="n">
        <v>-0.5234</v>
      </c>
      <c r="H46" s="39" t="n">
        <v>3880378</v>
      </c>
      <c r="I46" s="40" t="n">
        <v>1.002</v>
      </c>
    </row>
    <row r="47" customFormat="false" ht="15" hidden="false" customHeight="true" outlineLevel="0" collapsed="false">
      <c r="A47" s="43" t="s">
        <v>58</v>
      </c>
      <c r="B47" s="44" t="n">
        <v>130366</v>
      </c>
      <c r="C47" s="45" t="n">
        <v>0.063</v>
      </c>
      <c r="D47" s="44" t="n">
        <v>0</v>
      </c>
      <c r="E47" s="45" t="n">
        <v>0.063</v>
      </c>
      <c r="F47" s="44" t="n">
        <v>130366</v>
      </c>
      <c r="G47" s="45" t="n">
        <v>0</v>
      </c>
      <c r="H47" s="44" t="n">
        <v>7614</v>
      </c>
      <c r="I47" s="45" t="n">
        <v>0.002</v>
      </c>
    </row>
    <row r="48" customFormat="false" ht="15" hidden="false" customHeight="true" outlineLevel="0" collapsed="false">
      <c r="A48" s="46" t="s">
        <v>11</v>
      </c>
      <c r="B48" s="47" t="n">
        <v>2070732</v>
      </c>
      <c r="C48" s="48" t="n">
        <v>1</v>
      </c>
      <c r="D48" s="47" t="n">
        <v>4618327</v>
      </c>
      <c r="E48" s="48" t="n">
        <v>1</v>
      </c>
      <c r="F48" s="49" t="n">
        <v>-2547595</v>
      </c>
      <c r="G48" s="50" t="n">
        <v>-0.5516</v>
      </c>
      <c r="H48" s="47" t="n">
        <v>3872764</v>
      </c>
      <c r="I48" s="48" t="n">
        <v>1</v>
      </c>
    </row>
    <row r="49" customFormat="false" ht="15" hidden="false" customHeight="true" outlineLevel="0" collapsed="false">
      <c r="A49" s="43" t="s">
        <v>59</v>
      </c>
      <c r="B49" s="44" t="n">
        <v>1740860</v>
      </c>
      <c r="C49" s="45" t="n">
        <v>0.8407</v>
      </c>
      <c r="D49" s="44" t="n">
        <v>3933789</v>
      </c>
      <c r="E49" s="45" t="n">
        <v>0.8407</v>
      </c>
      <c r="F49" s="51" t="n">
        <v>-2192929</v>
      </c>
      <c r="G49" s="52" t="n">
        <v>-0.5575</v>
      </c>
      <c r="H49" s="44" t="n">
        <v>3359891</v>
      </c>
      <c r="I49" s="45" t="n">
        <v>0.8676</v>
      </c>
    </row>
    <row r="50" customFormat="false" ht="15" hidden="false" customHeight="true" outlineLevel="0" collapsed="false">
      <c r="A50" s="46" t="s">
        <v>3</v>
      </c>
      <c r="B50" s="47" t="n">
        <v>329872</v>
      </c>
      <c r="C50" s="48" t="n">
        <v>0.1593</v>
      </c>
      <c r="D50" s="47" t="n">
        <v>684538</v>
      </c>
      <c r="E50" s="48" t="n">
        <v>0.1593</v>
      </c>
      <c r="F50" s="49" t="n">
        <v>-354666</v>
      </c>
      <c r="G50" s="50" t="n">
        <v>-0.5181</v>
      </c>
      <c r="H50" s="47" t="n">
        <v>512873</v>
      </c>
      <c r="I50" s="48" t="n">
        <v>0.1324</v>
      </c>
    </row>
    <row r="51" customFormat="false" ht="15" hidden="false" customHeight="true" outlineLevel="0" collapsed="false">
      <c r="A51" s="43" t="s">
        <v>60</v>
      </c>
      <c r="B51" s="44" t="n">
        <v>224374</v>
      </c>
      <c r="C51" s="45" t="n">
        <v>0.1084</v>
      </c>
      <c r="D51" s="44" t="n">
        <v>225137</v>
      </c>
      <c r="E51" s="45" t="n">
        <v>0.1084</v>
      </c>
      <c r="F51" s="51" t="n">
        <v>-763</v>
      </c>
      <c r="G51" s="52" t="n">
        <v>-0.0034</v>
      </c>
      <c r="H51" s="44" t="n">
        <v>202981</v>
      </c>
      <c r="I51" s="45" t="n">
        <v>0.0524</v>
      </c>
    </row>
    <row r="52" customFormat="false" ht="15" hidden="false" customHeight="true" outlineLevel="0" collapsed="false">
      <c r="A52" s="36" t="s">
        <v>4</v>
      </c>
      <c r="B52" s="53" t="n">
        <v>105497</v>
      </c>
      <c r="C52" s="54" t="n">
        <v>0.0509</v>
      </c>
      <c r="D52" s="53" t="n">
        <v>459401</v>
      </c>
      <c r="E52" s="54" t="n">
        <v>0.0509</v>
      </c>
      <c r="F52" s="53" t="n">
        <v>-353904</v>
      </c>
      <c r="G52" s="54" t="n">
        <v>-0.7704</v>
      </c>
      <c r="H52" s="53" t="n">
        <v>309893</v>
      </c>
      <c r="I52" s="54" t="n">
        <v>0.08</v>
      </c>
    </row>
    <row r="54" customFormat="false" ht="19.5" hidden="false" customHeight="true" outlineLevel="0" collapsed="false">
      <c r="A54" s="35" t="s">
        <v>68</v>
      </c>
      <c r="B54" s="35"/>
      <c r="C54" s="35"/>
      <c r="D54" s="35"/>
      <c r="E54" s="35"/>
      <c r="F54" s="35"/>
      <c r="G54" s="35"/>
      <c r="H54" s="35"/>
      <c r="I54" s="35"/>
    </row>
    <row r="55" customFormat="false" ht="15.75" hidden="false" customHeight="true" outlineLevel="0" collapsed="false">
      <c r="A55" s="36" t="s">
        <v>50</v>
      </c>
      <c r="B55" s="37" t="s">
        <v>51</v>
      </c>
      <c r="C55" s="37" t="s">
        <v>52</v>
      </c>
      <c r="D55" s="37" t="s">
        <v>53</v>
      </c>
      <c r="E55" s="37" t="s">
        <v>52</v>
      </c>
      <c r="F55" s="37" t="s">
        <v>54</v>
      </c>
      <c r="G55" s="37" t="s">
        <v>55</v>
      </c>
      <c r="H55" s="37" t="s">
        <v>56</v>
      </c>
      <c r="I55" s="37" t="s">
        <v>52</v>
      </c>
    </row>
    <row r="56" customFormat="false" ht="15" hidden="false" customHeight="true" outlineLevel="0" collapsed="false">
      <c r="A56" s="38" t="s">
        <v>69</v>
      </c>
      <c r="B56" s="39" t="n">
        <v>4215713</v>
      </c>
      <c r="C56" s="40" t="n">
        <v>1</v>
      </c>
      <c r="D56" s="39" t="n">
        <v>5247714</v>
      </c>
      <c r="E56" s="40" t="n">
        <v>1</v>
      </c>
      <c r="F56" s="41" t="n">
        <v>-1032001</v>
      </c>
      <c r="G56" s="42" t="n">
        <v>-0.1967</v>
      </c>
      <c r="H56" s="39" t="n">
        <v>1089856</v>
      </c>
      <c r="I56" s="40" t="n">
        <v>1</v>
      </c>
    </row>
    <row r="57" customFormat="false" ht="15" hidden="false" customHeight="true" outlineLevel="0" collapsed="false">
      <c r="A57" s="43" t="s">
        <v>58</v>
      </c>
      <c r="B57" s="44" t="n">
        <v>0</v>
      </c>
      <c r="C57" s="45" t="n">
        <v>0</v>
      </c>
      <c r="D57" s="44" t="n">
        <v>0</v>
      </c>
      <c r="E57" s="45" t="n">
        <v>0</v>
      </c>
      <c r="F57" s="44" t="n">
        <v>0</v>
      </c>
      <c r="G57" s="45" t="n">
        <v>0</v>
      </c>
      <c r="H57" s="44" t="n">
        <v>0</v>
      </c>
      <c r="I57" s="45" t="n">
        <v>0</v>
      </c>
    </row>
    <row r="58" customFormat="false" ht="15" hidden="false" customHeight="true" outlineLevel="0" collapsed="false">
      <c r="A58" s="46" t="s">
        <v>11</v>
      </c>
      <c r="B58" s="47" t="n">
        <v>4215713</v>
      </c>
      <c r="C58" s="48" t="n">
        <v>1</v>
      </c>
      <c r="D58" s="47" t="n">
        <v>5247714</v>
      </c>
      <c r="E58" s="48" t="n">
        <v>1</v>
      </c>
      <c r="F58" s="49" t="n">
        <v>-1032001</v>
      </c>
      <c r="G58" s="50" t="n">
        <v>-0.1967</v>
      </c>
      <c r="H58" s="47" t="n">
        <v>1089856</v>
      </c>
      <c r="I58" s="48" t="n">
        <v>1</v>
      </c>
    </row>
    <row r="59" customFormat="false" ht="15" hidden="false" customHeight="true" outlineLevel="0" collapsed="false">
      <c r="A59" s="43" t="s">
        <v>59</v>
      </c>
      <c r="B59" s="44" t="n">
        <v>3154226</v>
      </c>
      <c r="C59" s="45" t="n">
        <v>0.7482</v>
      </c>
      <c r="D59" s="44" t="n">
        <v>4366014</v>
      </c>
      <c r="E59" s="45" t="n">
        <v>0.7482</v>
      </c>
      <c r="F59" s="51" t="n">
        <v>-1211788</v>
      </c>
      <c r="G59" s="52" t="n">
        <v>-0.2776</v>
      </c>
      <c r="H59" s="44" t="n">
        <v>914746</v>
      </c>
      <c r="I59" s="45" t="n">
        <v>0.8393</v>
      </c>
    </row>
    <row r="60" customFormat="false" ht="15" hidden="false" customHeight="true" outlineLevel="0" collapsed="false">
      <c r="A60" s="46" t="s">
        <v>3</v>
      </c>
      <c r="B60" s="47" t="n">
        <v>1061487</v>
      </c>
      <c r="C60" s="48" t="n">
        <v>0.2518</v>
      </c>
      <c r="D60" s="47" t="n">
        <v>881700</v>
      </c>
      <c r="E60" s="48" t="n">
        <v>0.2518</v>
      </c>
      <c r="F60" s="47" t="n">
        <v>179787</v>
      </c>
      <c r="G60" s="48" t="n">
        <v>0.2039</v>
      </c>
      <c r="H60" s="47" t="n">
        <v>175110</v>
      </c>
      <c r="I60" s="48" t="n">
        <v>0.1607</v>
      </c>
    </row>
    <row r="61" customFormat="false" ht="15" hidden="false" customHeight="true" outlineLevel="0" collapsed="false">
      <c r="A61" s="43" t="s">
        <v>60</v>
      </c>
      <c r="B61" s="44" t="n">
        <v>428282</v>
      </c>
      <c r="C61" s="45" t="n">
        <v>0.1016</v>
      </c>
      <c r="D61" s="44" t="n">
        <v>456222</v>
      </c>
      <c r="E61" s="45" t="n">
        <v>0.1016</v>
      </c>
      <c r="F61" s="51" t="n">
        <v>-27940</v>
      </c>
      <c r="G61" s="52" t="n">
        <v>-0.0612</v>
      </c>
      <c r="H61" s="44" t="n">
        <v>363477</v>
      </c>
      <c r="I61" s="45" t="n">
        <v>0.3335</v>
      </c>
    </row>
    <row r="62" customFormat="false" ht="15" hidden="false" customHeight="true" outlineLevel="0" collapsed="false">
      <c r="A62" s="36" t="s">
        <v>4</v>
      </c>
      <c r="B62" s="53" t="n">
        <v>633205</v>
      </c>
      <c r="C62" s="54" t="n">
        <v>0.1502</v>
      </c>
      <c r="D62" s="53" t="n">
        <v>425477</v>
      </c>
      <c r="E62" s="54" t="n">
        <v>0.1502</v>
      </c>
      <c r="F62" s="53" t="n">
        <v>207728</v>
      </c>
      <c r="G62" s="54" t="n">
        <v>0.4882</v>
      </c>
      <c r="H62" s="53" t="n">
        <v>-188367</v>
      </c>
      <c r="I62" s="54" t="n">
        <v>-0.1728</v>
      </c>
    </row>
    <row r="64" customFormat="false" ht="19.5" hidden="false" customHeight="true" outlineLevel="0" collapsed="false">
      <c r="A64" s="35" t="s">
        <v>28</v>
      </c>
      <c r="B64" s="35"/>
      <c r="C64" s="35"/>
      <c r="D64" s="35"/>
      <c r="E64" s="35"/>
      <c r="F64" s="35"/>
      <c r="G64" s="35"/>
      <c r="H64" s="35"/>
      <c r="I64" s="35"/>
    </row>
    <row r="65" customFormat="false" ht="15.75" hidden="false" customHeight="true" outlineLevel="0" collapsed="false">
      <c r="A65" s="36" t="s">
        <v>50</v>
      </c>
      <c r="B65" s="37" t="s">
        <v>51</v>
      </c>
      <c r="C65" s="37" t="s">
        <v>52</v>
      </c>
      <c r="D65" s="37" t="s">
        <v>53</v>
      </c>
      <c r="E65" s="37" t="s">
        <v>52</v>
      </c>
      <c r="F65" s="37" t="s">
        <v>54</v>
      </c>
      <c r="G65" s="37" t="s">
        <v>55</v>
      </c>
      <c r="H65" s="37" t="s">
        <v>56</v>
      </c>
      <c r="I65" s="37" t="s">
        <v>52</v>
      </c>
    </row>
    <row r="66" customFormat="false" ht="15" hidden="false" customHeight="true" outlineLevel="0" collapsed="false">
      <c r="A66" s="38" t="s">
        <v>70</v>
      </c>
      <c r="B66" s="39" t="n">
        <v>681507</v>
      </c>
      <c r="C66" s="40" t="n">
        <v>0.8587</v>
      </c>
      <c r="D66" s="39" t="n">
        <v>1034510</v>
      </c>
      <c r="E66" s="40" t="n">
        <v>0.8587</v>
      </c>
      <c r="F66" s="41" t="n">
        <v>-353003</v>
      </c>
      <c r="G66" s="42" t="n">
        <v>-0.3412</v>
      </c>
      <c r="H66" s="39" t="n">
        <v>936819</v>
      </c>
      <c r="I66" s="40" t="n">
        <v>0.9047</v>
      </c>
    </row>
    <row r="67" customFormat="false" ht="15" hidden="false" customHeight="true" outlineLevel="0" collapsed="false">
      <c r="A67" s="43" t="s">
        <v>71</v>
      </c>
      <c r="B67" s="44" t="n">
        <v>125862</v>
      </c>
      <c r="C67" s="45" t="n">
        <v>0.1586</v>
      </c>
      <c r="D67" s="44" t="n">
        <v>248000</v>
      </c>
      <c r="E67" s="45" t="n">
        <v>0.1586</v>
      </c>
      <c r="F67" s="51" t="n">
        <v>-122138</v>
      </c>
      <c r="G67" s="52" t="n">
        <v>-0.4925</v>
      </c>
      <c r="H67" s="44" t="n">
        <v>131035</v>
      </c>
      <c r="I67" s="45" t="n">
        <v>0.1265</v>
      </c>
    </row>
    <row r="68" customFormat="false" ht="15" hidden="false" customHeight="true" outlineLevel="0" collapsed="false">
      <c r="A68" s="38" t="s">
        <v>72</v>
      </c>
      <c r="B68" s="39" t="n">
        <v>0</v>
      </c>
      <c r="C68" s="40" t="n">
        <v>0</v>
      </c>
      <c r="D68" s="39" t="n">
        <v>0</v>
      </c>
      <c r="E68" s="40" t="n">
        <v>0</v>
      </c>
      <c r="F68" s="39" t="n">
        <v>0</v>
      </c>
      <c r="G68" s="40" t="n">
        <v>0</v>
      </c>
      <c r="H68" s="39" t="n">
        <v>0</v>
      </c>
      <c r="I68" s="40" t="n">
        <v>0</v>
      </c>
    </row>
    <row r="69" customFormat="false" ht="15" hidden="false" customHeight="true" outlineLevel="0" collapsed="false">
      <c r="A69" s="43" t="s">
        <v>58</v>
      </c>
      <c r="B69" s="44" t="n">
        <v>13695</v>
      </c>
      <c r="C69" s="45" t="n">
        <v>0.0173</v>
      </c>
      <c r="D69" s="44" t="n">
        <v>0</v>
      </c>
      <c r="E69" s="45" t="n">
        <v>0.0173</v>
      </c>
      <c r="F69" s="44" t="n">
        <v>13695</v>
      </c>
      <c r="G69" s="45" t="n">
        <v>0</v>
      </c>
      <c r="H69" s="44" t="n">
        <v>32300</v>
      </c>
      <c r="I69" s="45" t="n">
        <v>0.0312</v>
      </c>
    </row>
    <row r="70" customFormat="false" ht="15" hidden="false" customHeight="true" outlineLevel="0" collapsed="false">
      <c r="A70" s="46" t="s">
        <v>11</v>
      </c>
      <c r="B70" s="47" t="n">
        <v>793674</v>
      </c>
      <c r="C70" s="48" t="n">
        <v>1</v>
      </c>
      <c r="D70" s="47" t="n">
        <v>1282510</v>
      </c>
      <c r="E70" s="48" t="n">
        <v>1</v>
      </c>
      <c r="F70" s="49" t="n">
        <v>-488836</v>
      </c>
      <c r="G70" s="50" t="n">
        <v>-0.3812</v>
      </c>
      <c r="H70" s="47" t="n">
        <v>1035553</v>
      </c>
      <c r="I70" s="48" t="n">
        <v>1</v>
      </c>
    </row>
    <row r="71" customFormat="false" ht="15" hidden="false" customHeight="true" outlineLevel="0" collapsed="false">
      <c r="A71" s="43" t="s">
        <v>73</v>
      </c>
      <c r="B71" s="44" t="n">
        <v>468695</v>
      </c>
      <c r="C71" s="45" t="n">
        <v>0.6877</v>
      </c>
      <c r="D71" s="44" t="n">
        <v>879334</v>
      </c>
      <c r="E71" s="45" t="n">
        <v>0.6877</v>
      </c>
      <c r="F71" s="51" t="n">
        <v>-410639</v>
      </c>
      <c r="G71" s="52" t="n">
        <v>-0.467</v>
      </c>
      <c r="H71" s="44" t="n">
        <v>745545</v>
      </c>
      <c r="I71" s="45" t="n">
        <v>0.7958</v>
      </c>
    </row>
    <row r="72" customFormat="false" ht="15" hidden="false" customHeight="true" outlineLevel="0" collapsed="false">
      <c r="A72" s="46" t="s">
        <v>3</v>
      </c>
      <c r="B72" s="47" t="n">
        <v>324979</v>
      </c>
      <c r="C72" s="48" t="n">
        <v>0.4095</v>
      </c>
      <c r="D72" s="47" t="n">
        <v>403177</v>
      </c>
      <c r="E72" s="48" t="n">
        <v>0.4095</v>
      </c>
      <c r="F72" s="49" t="n">
        <v>-78198</v>
      </c>
      <c r="G72" s="50" t="n">
        <v>-0.194</v>
      </c>
      <c r="H72" s="47" t="n">
        <v>290008</v>
      </c>
      <c r="I72" s="48" t="n">
        <v>0.2801</v>
      </c>
    </row>
    <row r="73" customFormat="false" ht="15" hidden="false" customHeight="true" outlineLevel="0" collapsed="false">
      <c r="A73" s="43" t="s">
        <v>60</v>
      </c>
      <c r="B73" s="44" t="n">
        <v>164380</v>
      </c>
      <c r="C73" s="45" t="n">
        <v>0.2071</v>
      </c>
      <c r="D73" s="44" t="n">
        <v>182914</v>
      </c>
      <c r="E73" s="45" t="n">
        <v>0.2071</v>
      </c>
      <c r="F73" s="51" t="n">
        <v>-18534</v>
      </c>
      <c r="G73" s="52" t="n">
        <v>-0.1013</v>
      </c>
      <c r="H73" s="44" t="n">
        <v>297741</v>
      </c>
      <c r="I73" s="45" t="n">
        <v>0.2875</v>
      </c>
    </row>
    <row r="74" customFormat="false" ht="15" hidden="false" customHeight="true" outlineLevel="0" collapsed="false">
      <c r="A74" s="36" t="s">
        <v>4</v>
      </c>
      <c r="B74" s="53" t="n">
        <v>160598</v>
      </c>
      <c r="C74" s="54" t="n">
        <v>0.2023</v>
      </c>
      <c r="D74" s="53" t="n">
        <v>220262</v>
      </c>
      <c r="E74" s="54" t="n">
        <v>0.2023</v>
      </c>
      <c r="F74" s="53" t="n">
        <v>-59664</v>
      </c>
      <c r="G74" s="54" t="n">
        <v>-0.2709</v>
      </c>
      <c r="H74" s="53" t="n">
        <v>-7733</v>
      </c>
      <c r="I74" s="54" t="n">
        <v>-0.0075</v>
      </c>
    </row>
    <row r="76" customFormat="false" ht="19.5" hidden="false" customHeight="true" outlineLevel="0" collapsed="false">
      <c r="A76" s="35" t="s">
        <v>74</v>
      </c>
      <c r="B76" s="35"/>
      <c r="C76" s="35"/>
      <c r="D76" s="35"/>
      <c r="E76" s="35"/>
      <c r="F76" s="35"/>
      <c r="G76" s="35"/>
      <c r="H76" s="35"/>
      <c r="I76" s="35"/>
    </row>
    <row r="77" customFormat="false" ht="15.75" hidden="false" customHeight="true" outlineLevel="0" collapsed="false">
      <c r="A77" s="36" t="s">
        <v>50</v>
      </c>
      <c r="B77" s="37" t="s">
        <v>51</v>
      </c>
      <c r="C77" s="37" t="s">
        <v>52</v>
      </c>
      <c r="D77" s="37" t="s">
        <v>53</v>
      </c>
      <c r="E77" s="37" t="s">
        <v>52</v>
      </c>
      <c r="F77" s="37" t="s">
        <v>54</v>
      </c>
      <c r="G77" s="37" t="s">
        <v>55</v>
      </c>
      <c r="H77" s="37" t="s">
        <v>56</v>
      </c>
      <c r="I77" s="37" t="s">
        <v>52</v>
      </c>
    </row>
    <row r="78" customFormat="false" ht="15" hidden="false" customHeight="true" outlineLevel="0" collapsed="false">
      <c r="A78" s="38" t="s">
        <v>75</v>
      </c>
      <c r="B78" s="39" t="n">
        <v>4926925</v>
      </c>
      <c r="C78" s="40" t="n">
        <v>1</v>
      </c>
      <c r="D78" s="39" t="n">
        <v>0</v>
      </c>
      <c r="E78" s="40" t="n">
        <v>1</v>
      </c>
      <c r="F78" s="39" t="n">
        <v>4926925</v>
      </c>
      <c r="G78" s="40" t="n">
        <v>0</v>
      </c>
      <c r="H78" s="39" t="n">
        <v>3364578</v>
      </c>
      <c r="I78" s="40" t="n">
        <v>1</v>
      </c>
    </row>
    <row r="79" customFormat="false" ht="15" hidden="false" customHeight="true" outlineLevel="0" collapsed="false">
      <c r="A79" s="43" t="s">
        <v>58</v>
      </c>
      <c r="B79" s="44" t="n">
        <v>0</v>
      </c>
      <c r="C79" s="45" t="n">
        <v>0</v>
      </c>
      <c r="D79" s="44" t="n">
        <v>0</v>
      </c>
      <c r="E79" s="45" t="n">
        <v>0</v>
      </c>
      <c r="F79" s="44" t="n">
        <v>0</v>
      </c>
      <c r="G79" s="45" t="n">
        <v>0</v>
      </c>
      <c r="H79" s="44" t="n">
        <v>0</v>
      </c>
      <c r="I79" s="45" t="n">
        <v>0</v>
      </c>
    </row>
    <row r="80" customFormat="false" ht="15" hidden="false" customHeight="true" outlineLevel="0" collapsed="false">
      <c r="A80" s="46" t="s">
        <v>11</v>
      </c>
      <c r="B80" s="47" t="n">
        <v>4926925</v>
      </c>
      <c r="C80" s="48" t="n">
        <v>1</v>
      </c>
      <c r="D80" s="47" t="n">
        <v>2911000</v>
      </c>
      <c r="E80" s="48" t="n">
        <v>1</v>
      </c>
      <c r="F80" s="47" t="n">
        <v>2015925</v>
      </c>
      <c r="G80" s="48" t="n">
        <v>0.6925</v>
      </c>
      <c r="H80" s="47" t="n">
        <v>3364578</v>
      </c>
      <c r="I80" s="48" t="n">
        <v>1</v>
      </c>
    </row>
    <row r="81" customFormat="false" ht="15" hidden="false" customHeight="true" outlineLevel="0" collapsed="false">
      <c r="A81" s="43" t="s">
        <v>59</v>
      </c>
      <c r="B81" s="44" t="n">
        <v>3690506</v>
      </c>
      <c r="C81" s="45" t="n">
        <v>0.749</v>
      </c>
      <c r="D81" s="44" t="n">
        <v>2252381</v>
      </c>
      <c r="E81" s="45" t="n">
        <v>0.749</v>
      </c>
      <c r="F81" s="44" t="n">
        <v>1438125</v>
      </c>
      <c r="G81" s="45" t="n">
        <v>0.6385</v>
      </c>
      <c r="H81" s="44" t="n">
        <v>2673069</v>
      </c>
      <c r="I81" s="45" t="n">
        <v>0.7945</v>
      </c>
    </row>
    <row r="82" customFormat="false" ht="15" hidden="false" customHeight="true" outlineLevel="0" collapsed="false">
      <c r="A82" s="46" t="s">
        <v>3</v>
      </c>
      <c r="B82" s="47" t="n">
        <v>1236419</v>
      </c>
      <c r="C82" s="48" t="n">
        <v>0.251</v>
      </c>
      <c r="D82" s="47" t="n">
        <v>658619</v>
      </c>
      <c r="E82" s="48" t="n">
        <v>0.251</v>
      </c>
      <c r="F82" s="47" t="n">
        <v>577800</v>
      </c>
      <c r="G82" s="48" t="n">
        <v>0.8773</v>
      </c>
      <c r="H82" s="47" t="n">
        <v>691509</v>
      </c>
      <c r="I82" s="48" t="n">
        <v>0.2055</v>
      </c>
    </row>
    <row r="83" customFormat="false" ht="15" hidden="false" customHeight="true" outlineLevel="0" collapsed="false">
      <c r="A83" s="43" t="s">
        <v>60</v>
      </c>
      <c r="B83" s="44" t="n">
        <v>425926</v>
      </c>
      <c r="C83" s="45" t="n">
        <v>0.0864</v>
      </c>
      <c r="D83" s="44" t="n">
        <v>385886</v>
      </c>
      <c r="E83" s="45" t="n">
        <v>0.0864</v>
      </c>
      <c r="F83" s="44" t="n">
        <v>40040</v>
      </c>
      <c r="G83" s="45" t="n">
        <v>0.1038</v>
      </c>
      <c r="H83" s="44" t="n">
        <v>355132</v>
      </c>
      <c r="I83" s="45" t="n">
        <v>0.1056</v>
      </c>
    </row>
    <row r="84" customFormat="false" ht="15" hidden="false" customHeight="true" outlineLevel="0" collapsed="false">
      <c r="A84" s="36" t="s">
        <v>4</v>
      </c>
      <c r="B84" s="53" t="n">
        <v>810493</v>
      </c>
      <c r="C84" s="54" t="n">
        <v>0.1645</v>
      </c>
      <c r="D84" s="53" t="n">
        <v>272732</v>
      </c>
      <c r="E84" s="54" t="n">
        <v>0.1645</v>
      </c>
      <c r="F84" s="53" t="n">
        <v>537761</v>
      </c>
      <c r="G84" s="54" t="n">
        <v>1.9718</v>
      </c>
      <c r="H84" s="53" t="n">
        <v>336377</v>
      </c>
      <c r="I84" s="54" t="n">
        <v>0.1</v>
      </c>
    </row>
    <row r="86" customFormat="false" ht="19.5" hidden="false" customHeight="true" outlineLevel="0" collapsed="false">
      <c r="A86" s="35" t="s">
        <v>76</v>
      </c>
      <c r="B86" s="35"/>
      <c r="C86" s="35"/>
      <c r="D86" s="35"/>
      <c r="E86" s="35"/>
      <c r="F86" s="35"/>
      <c r="G86" s="35"/>
      <c r="H86" s="35"/>
      <c r="I86" s="35"/>
    </row>
    <row r="87" customFormat="false" ht="15.75" hidden="false" customHeight="true" outlineLevel="0" collapsed="false">
      <c r="A87" s="36" t="s">
        <v>50</v>
      </c>
      <c r="B87" s="37" t="s">
        <v>51</v>
      </c>
      <c r="C87" s="37" t="s">
        <v>52</v>
      </c>
      <c r="D87" s="37" t="s">
        <v>53</v>
      </c>
      <c r="E87" s="37" t="s">
        <v>52</v>
      </c>
      <c r="F87" s="37" t="s">
        <v>54</v>
      </c>
      <c r="G87" s="37" t="s">
        <v>55</v>
      </c>
      <c r="H87" s="37" t="s">
        <v>56</v>
      </c>
      <c r="I87" s="37" t="s">
        <v>52</v>
      </c>
    </row>
    <row r="88" customFormat="false" ht="15" hidden="false" customHeight="true" outlineLevel="0" collapsed="false">
      <c r="A88" s="38" t="s">
        <v>75</v>
      </c>
      <c r="B88" s="39" t="n">
        <v>1375000</v>
      </c>
      <c r="C88" s="40" t="n">
        <v>0.9986</v>
      </c>
      <c r="D88" s="39" t="n">
        <v>0</v>
      </c>
      <c r="E88" s="40" t="n">
        <v>0.9986</v>
      </c>
      <c r="F88" s="39" t="n">
        <v>1375000</v>
      </c>
      <c r="G88" s="40" t="n">
        <v>0</v>
      </c>
      <c r="H88" s="39" t="n">
        <v>7640000</v>
      </c>
      <c r="I88" s="40" t="n">
        <v>1.006</v>
      </c>
    </row>
    <row r="89" customFormat="false" ht="15" hidden="false" customHeight="true" outlineLevel="0" collapsed="false">
      <c r="A89" s="43" t="s">
        <v>58</v>
      </c>
      <c r="B89" s="51" t="n">
        <v>-1960</v>
      </c>
      <c r="C89" s="52" t="n">
        <v>-0.0014</v>
      </c>
      <c r="D89" s="44" t="n">
        <v>0</v>
      </c>
      <c r="E89" s="52" t="n">
        <v>-0.0014</v>
      </c>
      <c r="F89" s="51" t="n">
        <v>-1960</v>
      </c>
      <c r="G89" s="45" t="n">
        <v>0</v>
      </c>
      <c r="H89" s="44" t="n">
        <v>45708</v>
      </c>
      <c r="I89" s="45" t="n">
        <v>0.006</v>
      </c>
    </row>
    <row r="90" customFormat="false" ht="15" hidden="false" customHeight="true" outlineLevel="0" collapsed="false">
      <c r="A90" s="46" t="s">
        <v>11</v>
      </c>
      <c r="B90" s="47" t="n">
        <v>1376960</v>
      </c>
      <c r="C90" s="48" t="n">
        <v>1</v>
      </c>
      <c r="D90" s="47" t="n">
        <v>6400000</v>
      </c>
      <c r="E90" s="48" t="n">
        <v>1</v>
      </c>
      <c r="F90" s="49" t="n">
        <v>-5023040</v>
      </c>
      <c r="G90" s="50" t="n">
        <v>-0.7848</v>
      </c>
      <c r="H90" s="47" t="n">
        <v>7594292</v>
      </c>
      <c r="I90" s="48" t="n">
        <v>1</v>
      </c>
    </row>
    <row r="91" customFormat="false" ht="15" hidden="false" customHeight="true" outlineLevel="0" collapsed="false">
      <c r="A91" s="43" t="s">
        <v>59</v>
      </c>
      <c r="B91" s="44" t="n">
        <v>1704135</v>
      </c>
      <c r="C91" s="45" t="n">
        <v>1.2376</v>
      </c>
      <c r="D91" s="44" t="n">
        <v>6524371</v>
      </c>
      <c r="E91" s="45" t="n">
        <v>1.2376</v>
      </c>
      <c r="F91" s="51" t="n">
        <v>-4820236</v>
      </c>
      <c r="G91" s="52" t="n">
        <v>-0.7388</v>
      </c>
      <c r="H91" s="44" t="n">
        <v>6824596</v>
      </c>
      <c r="I91" s="45" t="n">
        <v>0.8986</v>
      </c>
    </row>
    <row r="92" customFormat="false" ht="15" hidden="false" customHeight="true" outlineLevel="0" collapsed="false">
      <c r="A92" s="46" t="s">
        <v>3</v>
      </c>
      <c r="B92" s="49" t="n">
        <v>-327175</v>
      </c>
      <c r="C92" s="50" t="n">
        <v>-0.2376</v>
      </c>
      <c r="D92" s="49" t="n">
        <v>-124371</v>
      </c>
      <c r="E92" s="50" t="n">
        <v>-0.2376</v>
      </c>
      <c r="F92" s="49" t="n">
        <v>-202804</v>
      </c>
      <c r="G92" s="48" t="n">
        <v>1.6306</v>
      </c>
      <c r="H92" s="47" t="n">
        <v>769696</v>
      </c>
      <c r="I92" s="48" t="n">
        <v>0.1014</v>
      </c>
    </row>
    <row r="93" customFormat="false" ht="15" hidden="false" customHeight="true" outlineLevel="0" collapsed="false">
      <c r="A93" s="43" t="s">
        <v>60</v>
      </c>
      <c r="B93" s="44" t="n">
        <v>188087</v>
      </c>
      <c r="C93" s="45" t="n">
        <v>0.1366</v>
      </c>
      <c r="D93" s="44" t="n">
        <v>190213</v>
      </c>
      <c r="E93" s="45" t="n">
        <v>0.1366</v>
      </c>
      <c r="F93" s="51" t="n">
        <v>-2126</v>
      </c>
      <c r="G93" s="52" t="n">
        <v>-0.0112</v>
      </c>
      <c r="H93" s="44" t="n">
        <v>208248</v>
      </c>
      <c r="I93" s="45" t="n">
        <v>0.0274</v>
      </c>
    </row>
    <row r="94" customFormat="false" ht="15" hidden="false" customHeight="true" outlineLevel="0" collapsed="false">
      <c r="A94" s="36" t="s">
        <v>4</v>
      </c>
      <c r="B94" s="53" t="n">
        <v>-515262</v>
      </c>
      <c r="C94" s="54" t="n">
        <v>-0.3742</v>
      </c>
      <c r="D94" s="53" t="n">
        <v>-314584</v>
      </c>
      <c r="E94" s="54" t="n">
        <v>-0.3742</v>
      </c>
      <c r="F94" s="53" t="n">
        <v>-200678</v>
      </c>
      <c r="G94" s="54" t="n">
        <v>0.6379</v>
      </c>
      <c r="H94" s="53" t="n">
        <v>561447</v>
      </c>
      <c r="I94" s="54" t="n">
        <v>0.0739</v>
      </c>
    </row>
  </sheetData>
  <mergeCells count="10">
    <mergeCell ref="A1:H1"/>
    <mergeCell ref="A2:I2"/>
    <mergeCell ref="A12:I12"/>
    <mergeCell ref="A22:I22"/>
    <mergeCell ref="A34:I34"/>
    <mergeCell ref="A44:I44"/>
    <mergeCell ref="A54:I54"/>
    <mergeCell ref="A64:I64"/>
    <mergeCell ref="A76:I76"/>
    <mergeCell ref="A86:I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E00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34" t="s">
        <v>77</v>
      </c>
      <c r="B1" s="34"/>
      <c r="C1" s="34"/>
      <c r="D1" s="34"/>
      <c r="E1" s="34"/>
      <c r="F1" s="34"/>
    </row>
    <row r="2" customFormat="false" ht="18" hidden="false" customHeight="true" outlineLevel="0" collapsed="false">
      <c r="A2" s="7" t="s">
        <v>50</v>
      </c>
      <c r="B2" s="8" t="s">
        <v>51</v>
      </c>
      <c r="C2" s="8" t="s">
        <v>52</v>
      </c>
      <c r="D2" s="8" t="s">
        <v>53</v>
      </c>
      <c r="E2" s="8" t="s">
        <v>78</v>
      </c>
      <c r="F2" s="8" t="s">
        <v>56</v>
      </c>
    </row>
    <row r="3" customFormat="false" ht="15.75" hidden="false" customHeight="true" outlineLevel="0" collapsed="false">
      <c r="A3" s="55" t="s">
        <v>2</v>
      </c>
      <c r="B3" s="56" t="n">
        <v>61109928</v>
      </c>
      <c r="C3" s="57" t="n">
        <v>1</v>
      </c>
      <c r="D3" s="56" t="n">
        <v>80779522</v>
      </c>
      <c r="E3" s="57" t="n">
        <v>1</v>
      </c>
      <c r="F3" s="56" t="n">
        <v>67195732</v>
      </c>
    </row>
    <row r="4" customFormat="false" ht="15.75" hidden="false" customHeight="true" outlineLevel="0" collapsed="false">
      <c r="A4" s="58" t="s">
        <v>79</v>
      </c>
      <c r="B4" s="14" t="n">
        <v>49080382</v>
      </c>
      <c r="C4" s="15" t="n">
        <v>0.8031</v>
      </c>
      <c r="D4" s="14" t="n">
        <v>66252636</v>
      </c>
      <c r="E4" s="15" t="n">
        <v>0.8202</v>
      </c>
      <c r="F4" s="14" t="n">
        <v>54071629</v>
      </c>
    </row>
    <row r="5" customFormat="false" ht="15.75" hidden="false" customHeight="true" outlineLevel="0" collapsed="false">
      <c r="A5" s="55" t="s">
        <v>3</v>
      </c>
      <c r="B5" s="56" t="n">
        <v>12029546</v>
      </c>
      <c r="C5" s="57" t="n">
        <v>0.1969</v>
      </c>
      <c r="D5" s="56" t="n">
        <v>14526886</v>
      </c>
      <c r="E5" s="57" t="n">
        <v>0.1798</v>
      </c>
      <c r="F5" s="56" t="n">
        <v>13124103</v>
      </c>
    </row>
    <row r="6" customFormat="false" ht="15.75" hidden="false" customHeight="true" outlineLevel="0" collapsed="false">
      <c r="A6" s="58" t="s">
        <v>80</v>
      </c>
      <c r="B6" s="14" t="n">
        <v>6809973</v>
      </c>
      <c r="C6" s="15" t="n">
        <v>0.1114</v>
      </c>
      <c r="D6" s="14" t="n">
        <v>6826547</v>
      </c>
      <c r="E6" s="15" t="n">
        <v>0.0845</v>
      </c>
      <c r="F6" s="14" t="n">
        <v>6617076</v>
      </c>
    </row>
    <row r="7" customFormat="false" ht="15.75" hidden="false" customHeight="true" outlineLevel="0" collapsed="false">
      <c r="A7" s="58" t="s">
        <v>81</v>
      </c>
      <c r="B7" s="14" t="n">
        <v>383091</v>
      </c>
      <c r="C7" s="15" t="n">
        <v>0.0063</v>
      </c>
      <c r="D7" s="14" t="n">
        <v>449682</v>
      </c>
      <c r="E7" s="15" t="n">
        <v>0.0056</v>
      </c>
      <c r="F7" s="14" t="n">
        <v>602508</v>
      </c>
    </row>
    <row r="8" customFormat="false" ht="15.75" hidden="false" customHeight="true" outlineLevel="0" collapsed="false">
      <c r="A8" s="58" t="s">
        <v>82</v>
      </c>
      <c r="B8" s="14" t="n">
        <v>1142043</v>
      </c>
      <c r="C8" s="15" t="n">
        <v>0.0187</v>
      </c>
      <c r="D8" s="14" t="n">
        <v>1615887</v>
      </c>
      <c r="E8" s="15" t="n">
        <v>0.02</v>
      </c>
      <c r="F8" s="14" t="n">
        <v>1656434</v>
      </c>
    </row>
    <row r="9" customFormat="false" ht="15.75" hidden="false" customHeight="true" outlineLevel="0" collapsed="false">
      <c r="A9" s="58" t="s">
        <v>83</v>
      </c>
      <c r="B9" s="14" t="n">
        <v>363918</v>
      </c>
      <c r="C9" s="15" t="n">
        <v>0.006</v>
      </c>
      <c r="D9" s="14" t="n">
        <v>355421</v>
      </c>
      <c r="E9" s="15" t="n">
        <v>0.0044</v>
      </c>
      <c r="F9" s="14" t="n">
        <v>302808</v>
      </c>
    </row>
    <row r="10" customFormat="false" ht="19.5" hidden="false" customHeight="true" outlineLevel="0" collapsed="false">
      <c r="A10" s="7" t="s">
        <v>4</v>
      </c>
      <c r="B10" s="20" t="n">
        <v>3330521</v>
      </c>
      <c r="C10" s="21" t="n">
        <v>0.0545</v>
      </c>
      <c r="D10" s="20" t="n">
        <v>5279349</v>
      </c>
      <c r="E10" s="21" t="n">
        <v>0.0654</v>
      </c>
      <c r="F10" s="20" t="n">
        <v>3945277</v>
      </c>
    </row>
    <row r="11" customFormat="false" ht="15.75" hidden="false" customHeight="true" outlineLevel="0" collapsed="false">
      <c r="A11" s="58"/>
      <c r="B11" s="59"/>
      <c r="C11" s="59"/>
      <c r="D11" s="59"/>
      <c r="E11" s="59"/>
      <c r="F11" s="59"/>
    </row>
    <row r="12" customFormat="false" ht="18" hidden="false" customHeight="true" outlineLevel="0" collapsed="false">
      <c r="A12" s="22" t="s">
        <v>84</v>
      </c>
      <c r="B12" s="22"/>
      <c r="C12" s="22"/>
      <c r="D12" s="22"/>
      <c r="E12" s="22"/>
      <c r="F12" s="22"/>
    </row>
    <row r="13" customFormat="false" ht="15.75" hidden="false" customHeight="true" outlineLevel="0" collapsed="false">
      <c r="A13" s="58" t="s">
        <v>33</v>
      </c>
      <c r="B13" s="14" t="n">
        <v>820889</v>
      </c>
      <c r="C13" s="15" t="n">
        <v>0.0134</v>
      </c>
      <c r="D13" s="14" t="n">
        <v>790792</v>
      </c>
      <c r="E13" s="15" t="n">
        <v>0.0098</v>
      </c>
      <c r="F13" s="14" t="n">
        <v>790792</v>
      </c>
    </row>
    <row r="14" customFormat="false" ht="15.75" hidden="false" customHeight="true" outlineLevel="0" collapsed="false">
      <c r="A14" s="58" t="s">
        <v>35</v>
      </c>
      <c r="B14" s="14" t="n">
        <v>835144</v>
      </c>
      <c r="C14" s="15" t="n">
        <v>0.0137</v>
      </c>
      <c r="D14" s="14" t="n">
        <v>547524</v>
      </c>
      <c r="E14" s="15" t="n">
        <v>0.0068</v>
      </c>
      <c r="F14" s="14" t="n">
        <v>547524</v>
      </c>
    </row>
    <row r="15" customFormat="false" ht="15.75" hidden="false" customHeight="true" outlineLevel="0" collapsed="false">
      <c r="A15" s="58" t="s">
        <v>85</v>
      </c>
      <c r="B15" s="14" t="n">
        <v>742</v>
      </c>
      <c r="C15" s="15" t="n">
        <v>0</v>
      </c>
      <c r="D15" s="14" t="n">
        <v>1786</v>
      </c>
      <c r="E15" s="15" t="n">
        <v>0</v>
      </c>
      <c r="F15" s="14" t="n">
        <v>1786</v>
      </c>
    </row>
    <row r="16" customFormat="false" ht="15.75" hidden="false" customHeight="true" outlineLevel="0" collapsed="false">
      <c r="A16" s="58" t="s">
        <v>37</v>
      </c>
      <c r="B16" s="14" t="n">
        <v>15422</v>
      </c>
      <c r="C16" s="15" t="n">
        <v>0.0003</v>
      </c>
      <c r="D16" s="14" t="n">
        <v>2525</v>
      </c>
      <c r="E16" s="15" t="n">
        <v>0</v>
      </c>
      <c r="F16" s="14" t="n">
        <v>50</v>
      </c>
    </row>
    <row r="17" customFormat="false" ht="15.75" hidden="false" customHeight="true" outlineLevel="0" collapsed="false">
      <c r="A17" s="58" t="s">
        <v>38</v>
      </c>
      <c r="B17" s="60" t="n">
        <v>-8355</v>
      </c>
      <c r="C17" s="61" t="n">
        <v>-0.0001</v>
      </c>
      <c r="D17" s="60" t="n">
        <v>-23984</v>
      </c>
      <c r="E17" s="61" t="n">
        <v>-0.0003</v>
      </c>
      <c r="F17" s="60" t="n">
        <v>-23984</v>
      </c>
    </row>
    <row r="18" customFormat="false" ht="15.75" hidden="false" customHeight="true" outlineLevel="0" collapsed="false">
      <c r="A18" s="55" t="s">
        <v>86</v>
      </c>
      <c r="B18" s="56" t="n">
        <v>1663842</v>
      </c>
      <c r="C18" s="57" t="n">
        <v>0.0272</v>
      </c>
      <c r="D18" s="56" t="n">
        <v>1318643</v>
      </c>
      <c r="E18" s="57" t="n">
        <v>0.0163</v>
      </c>
      <c r="F18" s="56" t="n">
        <v>1359272</v>
      </c>
    </row>
    <row r="19" customFormat="false" ht="18" hidden="false" customHeight="true" outlineLevel="0" collapsed="false">
      <c r="A19" s="22" t="s">
        <v>87</v>
      </c>
      <c r="B19" s="22"/>
      <c r="C19" s="22"/>
      <c r="D19" s="22"/>
      <c r="E19" s="22"/>
      <c r="F19" s="22"/>
    </row>
    <row r="20" customFormat="false" ht="15.75" hidden="false" customHeight="true" outlineLevel="0" collapsed="false">
      <c r="A20" s="58" t="s">
        <v>88</v>
      </c>
      <c r="B20" s="14" t="n">
        <v>136665</v>
      </c>
      <c r="C20" s="15" t="n">
        <v>0.0022</v>
      </c>
      <c r="D20" s="14" t="n">
        <v>206852</v>
      </c>
      <c r="E20" s="15" t="n">
        <v>0.0026</v>
      </c>
      <c r="F20" s="14" t="n">
        <v>405208</v>
      </c>
    </row>
    <row r="21" customFormat="false" ht="15.75" hidden="false" customHeight="true" outlineLevel="0" collapsed="false">
      <c r="A21" s="58" t="s">
        <v>43</v>
      </c>
      <c r="B21" s="14" t="n">
        <v>27950</v>
      </c>
      <c r="C21" s="15" t="n">
        <v>0.0005</v>
      </c>
      <c r="D21" s="14" t="n">
        <v>27950</v>
      </c>
      <c r="E21" s="15" t="n">
        <v>0.0003</v>
      </c>
      <c r="F21" s="14" t="n">
        <v>34500</v>
      </c>
    </row>
    <row r="22" customFormat="false" ht="15.75" hidden="false" customHeight="true" outlineLevel="0" collapsed="false">
      <c r="A22" s="58" t="s">
        <v>89</v>
      </c>
      <c r="B22" s="14" t="n">
        <v>336011</v>
      </c>
      <c r="C22" s="15" t="n">
        <v>0.0055</v>
      </c>
      <c r="D22" s="14" t="n">
        <v>823004</v>
      </c>
      <c r="E22" s="15" t="n">
        <v>0.0102</v>
      </c>
      <c r="F22" s="14" t="n">
        <v>930048</v>
      </c>
    </row>
    <row r="23" customFormat="false" ht="15.75" hidden="false" customHeight="true" outlineLevel="0" collapsed="false">
      <c r="A23" s="58" t="s">
        <v>90</v>
      </c>
      <c r="B23" s="14" t="n">
        <v>652285</v>
      </c>
      <c r="C23" s="15" t="n">
        <v>0.0107</v>
      </c>
      <c r="D23" s="14" t="n">
        <v>652285</v>
      </c>
      <c r="E23" s="15" t="n">
        <v>0.0081</v>
      </c>
      <c r="F23" s="14" t="n">
        <v>652285</v>
      </c>
    </row>
    <row r="24" customFormat="false" ht="15.75" hidden="false" customHeight="true" outlineLevel="0" collapsed="false">
      <c r="A24" s="55" t="s">
        <v>91</v>
      </c>
      <c r="B24" s="56" t="n">
        <v>1152911</v>
      </c>
      <c r="C24" s="57" t="n">
        <v>0.0189</v>
      </c>
      <c r="D24" s="56" t="n">
        <v>1710091</v>
      </c>
      <c r="E24" s="57" t="n">
        <v>0.0212</v>
      </c>
      <c r="F24" s="56" t="n">
        <v>2022042</v>
      </c>
    </row>
    <row r="25" customFormat="false" ht="15.75" hidden="false" customHeight="true" outlineLevel="0" collapsed="false">
      <c r="A25" s="58"/>
      <c r="B25" s="59"/>
      <c r="C25" s="59"/>
      <c r="D25" s="59"/>
      <c r="E25" s="59"/>
      <c r="F25" s="59"/>
    </row>
    <row r="26" customFormat="false" ht="19.5" hidden="false" customHeight="true" outlineLevel="0" collapsed="false">
      <c r="A26" s="7" t="s">
        <v>47</v>
      </c>
      <c r="B26" s="20" t="n">
        <v>3841451</v>
      </c>
      <c r="C26" s="21" t="n">
        <v>0.0629</v>
      </c>
      <c r="D26" s="20" t="n">
        <v>4887901</v>
      </c>
      <c r="E26" s="21" t="n">
        <v>0.0605</v>
      </c>
      <c r="F26" s="20" t="n">
        <v>3282507</v>
      </c>
    </row>
  </sheetData>
  <mergeCells count="3">
    <mergeCell ref="A1:F1"/>
    <mergeCell ref="A12:F1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2026-07-06T16:57:11Z</dcterms:created>
  <dc:creator>openpyxl</dc:creator>
  <dc:description/>
  <dc:language>en-US</dc:language>
  <cp:lastModifiedBy/>
  <dcterms:modified xsi:type="dcterms:W3CDTF">2026-07-06T16:57:11Z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